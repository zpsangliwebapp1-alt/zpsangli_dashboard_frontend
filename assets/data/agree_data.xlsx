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E0FC140-9408-4CB9-9EE3-9A9D01E55115}" xr6:coauthVersionLast="47" xr6:coauthVersionMax="47" xr10:uidLastSave="{00000000-0000-0000-0000-000000000000}"/>
  <bookViews>
    <workbookView xWindow="-110" yWindow="-110" windowWidth="19420" windowHeight="11500" firstSheet="3" activeTab="10" xr2:uid="{00000000-000D-0000-FFFF-FFFF00000000}"/>
  </bookViews>
  <sheets>
    <sheet name="Oct-24" sheetId="6" r:id="rId1"/>
    <sheet name="Nov-24" sheetId="7" r:id="rId2"/>
    <sheet name="Dec-24" sheetId="8" r:id="rId3"/>
    <sheet name="Jan-25" sheetId="9" r:id="rId4"/>
    <sheet name="feb-25" sheetId="10" r:id="rId5"/>
    <sheet name="Mar-25" sheetId="11" r:id="rId6"/>
    <sheet name="Apr-25" sheetId="12" r:id="rId7"/>
    <sheet name="May-25 " sheetId="13" r:id="rId8"/>
    <sheet name="Jun-25" sheetId="14" r:id="rId9"/>
    <sheet name="Jul-25" sheetId="15" r:id="rId10"/>
    <sheet name="August-25" sheetId="16" r:id="rId11"/>
    <sheet name="Sep-25" sheetId="17" r:id="rId12"/>
  </sheets>
  <definedNames>
    <definedName name="_xlnm.Print_Area" localSheetId="6">'Apr-25'!$A$1:$G$29</definedName>
    <definedName name="_xlnm.Print_Area" localSheetId="10">'August-25'!$A$1:$G$29</definedName>
    <definedName name="_xlnm.Print_Area" localSheetId="2">'Dec-24'!$A$1:$G$30</definedName>
    <definedName name="_xlnm.Print_Area" localSheetId="4">'feb-25'!$A$1:$G$29</definedName>
    <definedName name="_xlnm.Print_Area" localSheetId="3">'Jan-25'!$A$1:$G$29</definedName>
    <definedName name="_xlnm.Print_Area" localSheetId="9">'Jul-25'!$A$1:$G$29</definedName>
    <definedName name="_xlnm.Print_Area" localSheetId="8">'Jun-25'!$A$1:$G$29</definedName>
    <definedName name="_xlnm.Print_Area" localSheetId="5">'Mar-25'!$A$1:$G$29</definedName>
    <definedName name="_xlnm.Print_Area" localSheetId="7">'May-25 '!$A$1:$G$29</definedName>
    <definedName name="_xlnm.Print_Area" localSheetId="1">'Nov-24'!$A$1:$G$29</definedName>
    <definedName name="_xlnm.Print_Area" localSheetId="0">'Oct-24'!$A$1:$G$29</definedName>
    <definedName name="_xlnm.Print_Area" localSheetId="11">'Sep-25'!$A$1:$G$29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7" l="1"/>
  <c r="E21" i="17"/>
  <c r="D21" i="17"/>
  <c r="C21" i="17"/>
  <c r="F14" i="17"/>
  <c r="D7" i="17"/>
  <c r="E21" i="16"/>
  <c r="C21" i="16"/>
  <c r="F14" i="16"/>
  <c r="F21" i="16" s="1"/>
  <c r="D7" i="16"/>
  <c r="D21" i="16" s="1"/>
  <c r="F21" i="15"/>
  <c r="E21" i="15"/>
  <c r="C21" i="15"/>
  <c r="F14" i="15"/>
  <c r="D7" i="15"/>
  <c r="D21" i="15" s="1"/>
  <c r="E21" i="14"/>
  <c r="C21" i="14"/>
  <c r="F14" i="14"/>
  <c r="F7" i="14"/>
  <c r="D7" i="14"/>
  <c r="D21" i="14" s="1"/>
  <c r="F21" i="13"/>
  <c r="E21" i="13"/>
  <c r="D21" i="13"/>
  <c r="C21" i="13"/>
  <c r="F14" i="13"/>
  <c r="F7" i="13"/>
  <c r="D7" i="13"/>
  <c r="F7" i="12"/>
  <c r="F14" i="12"/>
  <c r="E21" i="12"/>
  <c r="C21" i="12"/>
  <c r="D7" i="12"/>
  <c r="D21" i="12" s="1"/>
  <c r="C21" i="11"/>
  <c r="F21" i="11"/>
  <c r="E21" i="11"/>
  <c r="D7" i="11"/>
  <c r="D21" i="11" s="1"/>
  <c r="F19" i="10"/>
  <c r="F7" i="10"/>
  <c r="F21" i="10" s="1"/>
  <c r="E7" i="10"/>
  <c r="E21" i="10" s="1"/>
  <c r="C21" i="10"/>
  <c r="D7" i="10"/>
  <c r="D21" i="10" s="1"/>
  <c r="F21" i="9"/>
  <c r="E21" i="9"/>
  <c r="C21" i="9"/>
  <c r="D7" i="9"/>
  <c r="D21" i="9" s="1"/>
  <c r="F21" i="14" l="1"/>
  <c r="F21" i="12"/>
  <c r="C20" i="7"/>
  <c r="D19" i="7"/>
  <c r="E19" i="7" s="1"/>
  <c r="F19" i="7" s="1"/>
  <c r="D18" i="7"/>
  <c r="E18" i="7" s="1"/>
  <c r="F18" i="7" s="1"/>
  <c r="D17" i="7"/>
  <c r="E17" i="7" s="1"/>
  <c r="F17" i="7" s="1"/>
  <c r="D16" i="7"/>
  <c r="E16" i="7" s="1"/>
  <c r="F16" i="7" s="1"/>
  <c r="E15" i="7"/>
  <c r="F15" i="7" s="1"/>
  <c r="D15" i="7"/>
  <c r="D14" i="7"/>
  <c r="E14" i="7" s="1"/>
  <c r="F14" i="7" s="1"/>
  <c r="D13" i="7"/>
  <c r="E13" i="7" s="1"/>
  <c r="F13" i="7" s="1"/>
  <c r="D12" i="7"/>
  <c r="E12" i="7" s="1"/>
  <c r="F12" i="7" s="1"/>
  <c r="D11" i="7"/>
  <c r="E11" i="7" s="1"/>
  <c r="F11" i="7" s="1"/>
  <c r="E10" i="7"/>
  <c r="F10" i="7" s="1"/>
  <c r="D10" i="7"/>
  <c r="D9" i="7"/>
  <c r="E9" i="7" s="1"/>
  <c r="F9" i="7" s="1"/>
  <c r="D8" i="7"/>
  <c r="E8" i="7" s="1"/>
  <c r="F8" i="7" s="1"/>
  <c r="D7" i="7"/>
  <c r="E7" i="7" s="1"/>
  <c r="F7" i="7" s="1"/>
  <c r="D6" i="7"/>
  <c r="D20" i="7" s="1"/>
  <c r="E6" i="7" l="1"/>
  <c r="F6" i="7" s="1"/>
  <c r="F20" i="7"/>
  <c r="E20" i="7"/>
  <c r="E11" i="6" l="1"/>
  <c r="F11" i="6" s="1"/>
  <c r="E10" i="6"/>
  <c r="F10" i="6" s="1"/>
  <c r="D19" i="6"/>
  <c r="E19" i="6" s="1"/>
  <c r="F19" i="6" s="1"/>
  <c r="D18" i="6"/>
  <c r="E18" i="6" s="1"/>
  <c r="F18" i="6" s="1"/>
  <c r="D17" i="6"/>
  <c r="E17" i="6" s="1"/>
  <c r="F17" i="6" s="1"/>
  <c r="D16" i="6"/>
  <c r="E16" i="6" s="1"/>
  <c r="F16" i="6" s="1"/>
  <c r="D15" i="6"/>
  <c r="E15" i="6" s="1"/>
  <c r="F15" i="6" s="1"/>
  <c r="D14" i="6"/>
  <c r="E14" i="6" s="1"/>
  <c r="F14" i="6" s="1"/>
  <c r="D13" i="6"/>
  <c r="E13" i="6" s="1"/>
  <c r="F13" i="6" s="1"/>
  <c r="D12" i="6"/>
  <c r="E12" i="6" s="1"/>
  <c r="F12" i="6" s="1"/>
  <c r="D11" i="6"/>
  <c r="D10" i="6"/>
  <c r="D9" i="6"/>
  <c r="E9" i="6" s="1"/>
  <c r="F9" i="6" s="1"/>
  <c r="D8" i="6"/>
  <c r="E8" i="6" s="1"/>
  <c r="F8" i="6" s="1"/>
  <c r="D7" i="6"/>
  <c r="E7" i="6" s="1"/>
  <c r="F7" i="6" s="1"/>
  <c r="F21" i="8"/>
  <c r="E21" i="8"/>
  <c r="C21" i="8"/>
  <c r="D7" i="8"/>
  <c r="D21" i="8" s="1"/>
  <c r="C20" i="6" l="1"/>
  <c r="D6" i="6"/>
  <c r="D20" i="6" l="1"/>
  <c r="E6" i="6"/>
  <c r="F6" i="6" l="1"/>
  <c r="F20" i="6" s="1"/>
  <c r="E20" i="6"/>
</calcChain>
</file>

<file path=xl/sharedStrings.xml><?xml version="1.0" encoding="utf-8"?>
<sst xmlns="http://schemas.openxmlformats.org/spreadsheetml/2006/main" count="446" uniqueCount="48">
  <si>
    <t>प्रपत्र २</t>
  </si>
  <si>
    <t xml:space="preserve">डॉ. बाबासाहेब आंबेडकर कृषी स्वावलंबन योजना सन २०२४-२५या योजनेच्या खर्चाचा अहवाल  </t>
  </si>
  <si>
    <t xml:space="preserve">जिल्हा </t>
  </si>
  <si>
    <t xml:space="preserve">सांगली </t>
  </si>
  <si>
    <t xml:space="preserve">एकूण </t>
  </si>
  <si>
    <t>अ क्र</t>
  </si>
  <si>
    <t xml:space="preserve">घटक </t>
  </si>
  <si>
    <t xml:space="preserve">लक्षांक </t>
  </si>
  <si>
    <t xml:space="preserve">साध्य </t>
  </si>
  <si>
    <t>शेरा</t>
  </si>
  <si>
    <t xml:space="preserve">भौतिक </t>
  </si>
  <si>
    <t xml:space="preserve">आर्थिक </t>
  </si>
  <si>
    <t xml:space="preserve">नवीन विहीर </t>
  </si>
  <si>
    <t xml:space="preserve">जुनी विहीर दुरुस्ती </t>
  </si>
  <si>
    <t xml:space="preserve">शेततळे प्लास्टिक अस्तरीकरण </t>
  </si>
  <si>
    <t xml:space="preserve">इनवेल बोरिंग </t>
  </si>
  <si>
    <t xml:space="preserve">वीजजोडणी आकार </t>
  </si>
  <si>
    <t xml:space="preserve">ठिबक सिंचन संच </t>
  </si>
  <si>
    <t xml:space="preserve">तुषार सिंचन संच </t>
  </si>
  <si>
    <t>पंप संच</t>
  </si>
  <si>
    <t xml:space="preserve">सोलार पंप </t>
  </si>
  <si>
    <t xml:space="preserve">पाईप </t>
  </si>
  <si>
    <t xml:space="preserve">परसबाग </t>
  </si>
  <si>
    <t xml:space="preserve">यंत्रसामुग्री </t>
  </si>
  <si>
    <t xml:space="preserve">अभिकरण शूल्क </t>
  </si>
  <si>
    <t xml:space="preserve">आकस्मिक खर्च </t>
  </si>
  <si>
    <t>(मनोजकुमार वेताळ)</t>
  </si>
  <si>
    <t xml:space="preserve">कृषी विकास अधिकारी </t>
  </si>
  <si>
    <t>जिल्हा परिषद,सांगली</t>
  </si>
  <si>
    <t xml:space="preserve">प्रति - </t>
  </si>
  <si>
    <t xml:space="preserve">मा.विभागीय कृषी सहसंचालक, कोल्हापुर </t>
  </si>
  <si>
    <t xml:space="preserve">कोल्हापुर </t>
  </si>
  <si>
    <r>
      <t xml:space="preserve">जा.क्र./जिपसां/कृषी/वि.घ.यो./डॉबाअकृस्वायो/लक्ष /      /२०२५                 </t>
    </r>
    <r>
      <rPr>
        <sz val="12"/>
        <color theme="1"/>
        <rFont val="DVBW-TTSurekhEN"/>
      </rPr>
      <t xml:space="preserve"> </t>
    </r>
  </si>
  <si>
    <t xml:space="preserve">  दि.        /    /२०२५ </t>
  </si>
  <si>
    <t xml:space="preserve">अहवाल कालावधी -  ऑक्टोबर २०२४ अखेर </t>
  </si>
  <si>
    <t xml:space="preserve">सन २०२४-२५ साठी मा.आयुक्त (कृषी),महाराष्ट्र राज्य, पुणे यांचेकडून मार्गदर्शक सूचना प्राप्त न झाल्याने लक्षांक व साध्य निरंक आहे  </t>
  </si>
  <si>
    <t xml:space="preserve">अहवाल कालावधी -  नोव्हेंबर २०२४ अखेर </t>
  </si>
  <si>
    <t xml:space="preserve">अहवाल कालावधी -   जानेवारी २०२५ अखेर </t>
  </si>
  <si>
    <t xml:space="preserve">अहवाल कालावधी -   फेब्रुवारी २०२५ अखेर </t>
  </si>
  <si>
    <t xml:space="preserve">अहवाल कालावधी -   मार्च २०२५ अखेर </t>
  </si>
  <si>
    <t xml:space="preserve">अहवाल कालावधी -   एप्रिल २०२५ अखेर </t>
  </si>
  <si>
    <t xml:space="preserve">डॉ. बाबासाहेब आंबेडकर कृषी स्वावलंबन योजना सन २०२४-२५ या योजनेच्या खर्चाचा अहवाल  </t>
  </si>
  <si>
    <t xml:space="preserve">अहवाल कालावधी -   मे २०२५ अखेर </t>
  </si>
  <si>
    <t xml:space="preserve">अहवाल कालावधी -  जुन २०२५ अखेर </t>
  </si>
  <si>
    <t xml:space="preserve">अहवाल कालावधी -  जुलै २०२५ अखेर </t>
  </si>
  <si>
    <t xml:space="preserve">अहवाल कालावधी -  ऑगस्ट २०२५ अखेर </t>
  </si>
  <si>
    <t xml:space="preserve">अहवाल कालावधी -  सप्टेबर २०२५ अखेर </t>
  </si>
  <si>
    <t xml:space="preserve">अहवाल कालावधी -   डिसेंबर २०२४ अखेर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</si>
</sst>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DVOT-Surekh"/>
    </font>
    <font>
      <sz val="12"/>
      <color theme="1"/>
      <name val="DVBW-TTSurekhE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activeCell="D15" sqref="D15"/>
    </sheetView>
  </sheetViews>
  <sheetFormatPr defaultRowHeight="14.5"/>
  <cols>
    <col min="2" max="2" width="27.453125" customWidth="1"/>
    <col min="3" max="3" width="19" customWidth="1"/>
    <col min="4" max="4" width="12.453125" customWidth="1"/>
    <col min="6" max="6" width="12.26953125" customWidth="1"/>
    <col min="7" max="7" width="35.7265625" customWidth="1"/>
  </cols>
  <sheetData>
    <row r="1" spans="1:7">
      <c r="A1" s="15" t="s">
        <v>0</v>
      </c>
      <c r="B1" s="15"/>
      <c r="C1" s="15"/>
      <c r="D1" s="15"/>
      <c r="E1" s="15"/>
      <c r="F1" s="15"/>
      <c r="G1" s="15"/>
    </row>
    <row r="2" spans="1:7">
      <c r="A2" s="15" t="s">
        <v>1</v>
      </c>
      <c r="B2" s="15"/>
      <c r="C2" s="15"/>
      <c r="D2" s="15"/>
      <c r="E2" s="15"/>
      <c r="F2" s="15"/>
      <c r="G2" s="15"/>
    </row>
    <row r="3" spans="1:7">
      <c r="A3" s="10" t="s">
        <v>2</v>
      </c>
      <c r="B3" s="10" t="s">
        <v>3</v>
      </c>
      <c r="C3" s="9"/>
      <c r="D3" s="15" t="s">
        <v>34</v>
      </c>
      <c r="E3" s="15"/>
      <c r="F3" s="15"/>
      <c r="G3" s="15"/>
    </row>
    <row r="4" spans="1:7">
      <c r="A4" s="2" t="s">
        <v>5</v>
      </c>
      <c r="B4" s="2" t="s">
        <v>6</v>
      </c>
      <c r="C4" s="15" t="s">
        <v>7</v>
      </c>
      <c r="D4" s="15"/>
      <c r="E4" s="16" t="s">
        <v>8</v>
      </c>
      <c r="F4" s="17"/>
      <c r="G4" s="2" t="s">
        <v>9</v>
      </c>
    </row>
    <row r="5" spans="1:7">
      <c r="A5" s="2"/>
      <c r="B5" s="2"/>
      <c r="C5" s="2" t="s">
        <v>10</v>
      </c>
      <c r="D5" s="2" t="s">
        <v>11</v>
      </c>
      <c r="E5" s="2" t="s">
        <v>10</v>
      </c>
      <c r="F5" s="2" t="s">
        <v>11</v>
      </c>
      <c r="G5" s="18" t="s">
        <v>35</v>
      </c>
    </row>
    <row r="6" spans="1:7">
      <c r="A6" s="1">
        <v>1</v>
      </c>
      <c r="B6" s="8" t="s">
        <v>12</v>
      </c>
      <c r="C6" s="11">
        <v>0</v>
      </c>
      <c r="D6" s="11">
        <f>C6*400000</f>
        <v>0</v>
      </c>
      <c r="E6" s="11">
        <f t="shared" ref="E6:F19" si="0">D6*400000</f>
        <v>0</v>
      </c>
      <c r="F6" s="11">
        <f t="shared" si="0"/>
        <v>0</v>
      </c>
      <c r="G6" s="19"/>
    </row>
    <row r="7" spans="1:7">
      <c r="A7" s="1">
        <v>2</v>
      </c>
      <c r="B7" s="2" t="s">
        <v>13</v>
      </c>
      <c r="C7" s="1">
        <v>0</v>
      </c>
      <c r="D7" s="11">
        <f t="shared" ref="D7:D19" si="1">C7*400000</f>
        <v>0</v>
      </c>
      <c r="E7" s="11">
        <f t="shared" si="0"/>
        <v>0</v>
      </c>
      <c r="F7" s="11">
        <f t="shared" si="0"/>
        <v>0</v>
      </c>
      <c r="G7" s="19"/>
    </row>
    <row r="8" spans="1:7">
      <c r="A8" s="1">
        <v>3</v>
      </c>
      <c r="B8" s="2" t="s">
        <v>14</v>
      </c>
      <c r="C8" s="1">
        <v>0</v>
      </c>
      <c r="D8" s="11">
        <f t="shared" si="1"/>
        <v>0</v>
      </c>
      <c r="E8" s="11">
        <f t="shared" si="0"/>
        <v>0</v>
      </c>
      <c r="F8" s="11">
        <f t="shared" si="0"/>
        <v>0</v>
      </c>
      <c r="G8" s="19"/>
    </row>
    <row r="9" spans="1:7">
      <c r="A9" s="1">
        <v>4</v>
      </c>
      <c r="B9" s="2" t="s">
        <v>15</v>
      </c>
      <c r="C9" s="1">
        <v>0</v>
      </c>
      <c r="D9" s="11">
        <f t="shared" si="1"/>
        <v>0</v>
      </c>
      <c r="E9" s="11">
        <f t="shared" si="0"/>
        <v>0</v>
      </c>
      <c r="F9" s="11">
        <f t="shared" si="0"/>
        <v>0</v>
      </c>
      <c r="G9" s="19"/>
    </row>
    <row r="10" spans="1:7">
      <c r="A10" s="1">
        <v>5</v>
      </c>
      <c r="B10" s="2" t="s">
        <v>16</v>
      </c>
      <c r="C10" s="1">
        <v>0</v>
      </c>
      <c r="D10" s="11">
        <f t="shared" si="1"/>
        <v>0</v>
      </c>
      <c r="E10" s="11">
        <f t="shared" si="0"/>
        <v>0</v>
      </c>
      <c r="F10" s="11">
        <f t="shared" si="0"/>
        <v>0</v>
      </c>
      <c r="G10" s="19"/>
    </row>
    <row r="11" spans="1:7">
      <c r="A11" s="1">
        <v>6</v>
      </c>
      <c r="B11" s="2" t="s">
        <v>17</v>
      </c>
      <c r="C11" s="1">
        <v>0</v>
      </c>
      <c r="D11" s="11">
        <f t="shared" si="1"/>
        <v>0</v>
      </c>
      <c r="E11" s="11">
        <f t="shared" si="0"/>
        <v>0</v>
      </c>
      <c r="F11" s="11">
        <f t="shared" si="0"/>
        <v>0</v>
      </c>
      <c r="G11" s="19"/>
    </row>
    <row r="12" spans="1:7">
      <c r="A12" s="1"/>
      <c r="B12" s="2" t="s">
        <v>18</v>
      </c>
      <c r="C12" s="1">
        <v>0</v>
      </c>
      <c r="D12" s="11">
        <f t="shared" si="1"/>
        <v>0</v>
      </c>
      <c r="E12" s="11">
        <f t="shared" si="0"/>
        <v>0</v>
      </c>
      <c r="F12" s="11">
        <f t="shared" si="0"/>
        <v>0</v>
      </c>
      <c r="G12" s="19"/>
    </row>
    <row r="13" spans="1:7">
      <c r="A13" s="1">
        <v>7</v>
      </c>
      <c r="B13" s="2" t="s">
        <v>19</v>
      </c>
      <c r="C13" s="1">
        <v>0</v>
      </c>
      <c r="D13" s="11">
        <f t="shared" si="1"/>
        <v>0</v>
      </c>
      <c r="E13" s="11">
        <f t="shared" si="0"/>
        <v>0</v>
      </c>
      <c r="F13" s="11">
        <f t="shared" si="0"/>
        <v>0</v>
      </c>
      <c r="G13" s="19"/>
    </row>
    <row r="14" spans="1:7">
      <c r="A14" s="1">
        <v>8</v>
      </c>
      <c r="B14" s="2" t="s">
        <v>20</v>
      </c>
      <c r="C14" s="1">
        <v>0</v>
      </c>
      <c r="D14" s="11">
        <f t="shared" si="1"/>
        <v>0</v>
      </c>
      <c r="E14" s="11">
        <f t="shared" si="0"/>
        <v>0</v>
      </c>
      <c r="F14" s="11">
        <f t="shared" si="0"/>
        <v>0</v>
      </c>
      <c r="G14" s="19"/>
    </row>
    <row r="15" spans="1:7">
      <c r="A15" s="1">
        <v>9</v>
      </c>
      <c r="B15" s="2" t="s">
        <v>21</v>
      </c>
      <c r="C15" s="1">
        <v>0</v>
      </c>
      <c r="D15" s="11">
        <f t="shared" si="1"/>
        <v>0</v>
      </c>
      <c r="E15" s="11">
        <f t="shared" si="0"/>
        <v>0</v>
      </c>
      <c r="F15" s="11">
        <f t="shared" si="0"/>
        <v>0</v>
      </c>
      <c r="G15" s="19"/>
    </row>
    <row r="16" spans="1:7">
      <c r="A16" s="1">
        <v>10</v>
      </c>
      <c r="B16" s="2" t="s">
        <v>22</v>
      </c>
      <c r="C16" s="1">
        <v>0</v>
      </c>
      <c r="D16" s="11">
        <f t="shared" si="1"/>
        <v>0</v>
      </c>
      <c r="E16" s="11">
        <f t="shared" si="0"/>
        <v>0</v>
      </c>
      <c r="F16" s="11">
        <f t="shared" si="0"/>
        <v>0</v>
      </c>
      <c r="G16" s="19"/>
    </row>
    <row r="17" spans="1:7">
      <c r="A17" s="1">
        <v>11</v>
      </c>
      <c r="B17" s="2" t="s">
        <v>23</v>
      </c>
      <c r="C17" s="1">
        <v>0</v>
      </c>
      <c r="D17" s="11">
        <f t="shared" si="1"/>
        <v>0</v>
      </c>
      <c r="E17" s="11">
        <f t="shared" si="0"/>
        <v>0</v>
      </c>
      <c r="F17" s="11">
        <f t="shared" si="0"/>
        <v>0</v>
      </c>
      <c r="G17" s="19"/>
    </row>
    <row r="18" spans="1:7">
      <c r="A18" s="3"/>
      <c r="B18" s="2" t="s">
        <v>24</v>
      </c>
      <c r="C18" s="1">
        <v>0</v>
      </c>
      <c r="D18" s="11">
        <f t="shared" si="1"/>
        <v>0</v>
      </c>
      <c r="E18" s="11">
        <f t="shared" si="0"/>
        <v>0</v>
      </c>
      <c r="F18" s="11">
        <f t="shared" si="0"/>
        <v>0</v>
      </c>
      <c r="G18" s="19"/>
    </row>
    <row r="19" spans="1:7">
      <c r="A19" s="3"/>
      <c r="B19" s="2" t="s">
        <v>25</v>
      </c>
      <c r="C19" s="1">
        <v>0</v>
      </c>
      <c r="D19" s="11">
        <f t="shared" si="1"/>
        <v>0</v>
      </c>
      <c r="E19" s="11">
        <f t="shared" si="0"/>
        <v>0</v>
      </c>
      <c r="F19" s="11">
        <f t="shared" si="0"/>
        <v>0</v>
      </c>
      <c r="G19" s="19"/>
    </row>
    <row r="20" spans="1:7">
      <c r="A20" s="3"/>
      <c r="B20" s="4" t="s">
        <v>4</v>
      </c>
      <c r="C20" s="5">
        <f>SUM(C6:C19)</f>
        <v>0</v>
      </c>
      <c r="D20" s="5">
        <f>SUM(D6:D19)</f>
        <v>0</v>
      </c>
      <c r="E20" s="5">
        <f>SUM(E6:E19)</f>
        <v>0</v>
      </c>
      <c r="F20" s="5">
        <f>SUM(F6:F19)</f>
        <v>0</v>
      </c>
      <c r="G20" s="20"/>
    </row>
    <row r="22" spans="1:7" ht="15.5" hidden="1">
      <c r="A22" t="s">
        <v>29</v>
      </c>
      <c r="F22" s="7" t="s">
        <v>32</v>
      </c>
    </row>
    <row r="23" spans="1:7" hidden="1">
      <c r="A23" t="s">
        <v>30</v>
      </c>
      <c r="F23" t="s">
        <v>33</v>
      </c>
    </row>
    <row r="24" spans="1:7" hidden="1">
      <c r="A24" t="s">
        <v>31</v>
      </c>
    </row>
    <row r="25" spans="1:7" hidden="1"/>
    <row r="26" spans="1:7" hidden="1"/>
    <row r="27" spans="1:7" hidden="1">
      <c r="F27" t="s">
        <v>26</v>
      </c>
    </row>
    <row r="28" spans="1:7" hidden="1">
      <c r="F28" s="6" t="s">
        <v>27</v>
      </c>
      <c r="G28" s="6"/>
    </row>
    <row r="29" spans="1:7" hidden="1">
      <c r="F29" s="6" t="s">
        <v>28</v>
      </c>
      <c r="G29" s="6"/>
    </row>
    <row r="30" spans="1:7" hidden="1"/>
  </sheetData>
  <mergeCells count="6">
    <mergeCell ref="G5:G20"/>
    <mergeCell ref="C4:D4"/>
    <mergeCell ref="E4:F4"/>
    <mergeCell ref="A1:G1"/>
    <mergeCell ref="A2:G2"/>
    <mergeCell ref="D3:G3"/>
  </mergeCells>
  <pageMargins left="0.7" right="0.7" top="0.75" bottom="0.75" header="0.3" footer="0.3"/>
  <pageSetup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E21" sqref="E21"/>
    </sheetView>
  </sheetViews>
  <sheetFormatPr defaultRowHeight="14.5"/>
  <cols>
    <col min="2" max="2" width="27.453125" customWidth="1"/>
    <col min="3" max="3" width="19" customWidth="1"/>
    <col min="4" max="4" width="12.453125" customWidth="1"/>
    <col min="6" max="6" width="12.26953125" customWidth="1"/>
    <col min="7" max="7" width="35.7265625" customWidth="1"/>
  </cols>
  <sheetData>
    <row r="1" spans="1:7">
      <c r="A1" s="15" t="s">
        <v>0</v>
      </c>
      <c r="B1" s="15"/>
      <c r="C1" s="15"/>
      <c r="D1" s="15"/>
      <c r="E1" s="15"/>
      <c r="F1" s="15"/>
      <c r="G1" s="15"/>
    </row>
    <row r="2" spans="1:7">
      <c r="A2" s="15" t="s">
        <v>1</v>
      </c>
      <c r="B2" s="15"/>
      <c r="C2" s="15"/>
      <c r="D2" s="15"/>
      <c r="E2" s="15"/>
      <c r="F2" s="15"/>
      <c r="G2" s="15"/>
    </row>
    <row r="3" spans="1:7">
      <c r="A3" s="10" t="s">
        <v>2</v>
      </c>
      <c r="B3" s="10" t="s">
        <v>3</v>
      </c>
      <c r="C3" s="9"/>
      <c r="D3" s="15" t="s">
        <v>36</v>
      </c>
      <c r="E3" s="15"/>
      <c r="F3" s="15"/>
      <c r="G3" s="15"/>
    </row>
    <row r="4" spans="1:7">
      <c r="A4" s="2" t="s">
        <v>5</v>
      </c>
      <c r="B4" s="2" t="s">
        <v>6</v>
      </c>
      <c r="C4" s="15" t="s">
        <v>7</v>
      </c>
      <c r="D4" s="15"/>
      <c r="E4" s="16" t="s">
        <v>8</v>
      </c>
      <c r="F4" s="17"/>
      <c r="G4" s="2" t="s">
        <v>9</v>
      </c>
    </row>
    <row r="5" spans="1:7">
      <c r="A5" s="2"/>
      <c r="B5" s="2"/>
      <c r="C5" s="2" t="s">
        <v>10</v>
      </c>
      <c r="D5" s="2" t="s">
        <v>11</v>
      </c>
      <c r="E5" s="2" t="s">
        <v>10</v>
      </c>
      <c r="F5" s="2" t="s">
        <v>11</v>
      </c>
      <c r="G5" s="18" t="s">
        <v>35</v>
      </c>
    </row>
    <row r="6" spans="1:7" ht="44.25" customHeight="1">
      <c r="A6" s="1">
        <v>1</v>
      </c>
      <c r="B6" s="8" t="s">
        <v>12</v>
      </c>
      <c r="C6" s="11">
        <v>0</v>
      </c>
      <c r="D6" s="11">
        <f>C6*400000</f>
        <v>0</v>
      </c>
      <c r="E6" s="11">
        <f t="shared" ref="E6:F19" si="0">D6*400000</f>
        <v>0</v>
      </c>
      <c r="F6" s="11">
        <f t="shared" si="0"/>
        <v>0</v>
      </c>
      <c r="G6" s="19"/>
    </row>
    <row r="7" spans="1:7">
      <c r="A7" s="1">
        <v>2</v>
      </c>
      <c r="B7" s="2" t="s">
        <v>13</v>
      </c>
      <c r="C7" s="1">
        <v>0</v>
      </c>
      <c r="D7" s="11">
        <f t="shared" ref="D7:D19" si="1">C7*400000</f>
        <v>0</v>
      </c>
      <c r="E7" s="11">
        <f t="shared" si="0"/>
        <v>0</v>
      </c>
      <c r="F7" s="11">
        <f t="shared" si="0"/>
        <v>0</v>
      </c>
      <c r="G7" s="19"/>
    </row>
    <row r="8" spans="1:7">
      <c r="A8" s="1">
        <v>3</v>
      </c>
      <c r="B8" s="2" t="s">
        <v>14</v>
      </c>
      <c r="C8" s="1">
        <v>0</v>
      </c>
      <c r="D8" s="11">
        <f t="shared" si="1"/>
        <v>0</v>
      </c>
      <c r="E8" s="11">
        <f t="shared" si="0"/>
        <v>0</v>
      </c>
      <c r="F8" s="11">
        <f t="shared" si="0"/>
        <v>0</v>
      </c>
      <c r="G8" s="19"/>
    </row>
    <row r="9" spans="1:7">
      <c r="A9" s="1">
        <v>4</v>
      </c>
      <c r="B9" s="2" t="s">
        <v>15</v>
      </c>
      <c r="C9" s="1">
        <v>0</v>
      </c>
      <c r="D9" s="11">
        <f t="shared" si="1"/>
        <v>0</v>
      </c>
      <c r="E9" s="11">
        <f t="shared" si="0"/>
        <v>0</v>
      </c>
      <c r="F9" s="11">
        <f t="shared" si="0"/>
        <v>0</v>
      </c>
      <c r="G9" s="19"/>
    </row>
    <row r="10" spans="1:7">
      <c r="A10" s="1">
        <v>5</v>
      </c>
      <c r="B10" s="2" t="s">
        <v>16</v>
      </c>
      <c r="C10" s="1">
        <v>0</v>
      </c>
      <c r="D10" s="11">
        <f t="shared" si="1"/>
        <v>0</v>
      </c>
      <c r="E10" s="11">
        <f t="shared" si="0"/>
        <v>0</v>
      </c>
      <c r="F10" s="11">
        <f t="shared" si="0"/>
        <v>0</v>
      </c>
      <c r="G10" s="19"/>
    </row>
    <row r="11" spans="1:7">
      <c r="A11" s="1">
        <v>6</v>
      </c>
      <c r="B11" s="2" t="s">
        <v>17</v>
      </c>
      <c r="C11" s="1">
        <v>0</v>
      </c>
      <c r="D11" s="11">
        <f t="shared" si="1"/>
        <v>0</v>
      </c>
      <c r="E11" s="11">
        <f t="shared" si="0"/>
        <v>0</v>
      </c>
      <c r="F11" s="11">
        <f t="shared" si="0"/>
        <v>0</v>
      </c>
      <c r="G11" s="19"/>
    </row>
    <row r="12" spans="1:7">
      <c r="A12" s="1"/>
      <c r="B12" s="2" t="s">
        <v>18</v>
      </c>
      <c r="C12" s="1">
        <v>0</v>
      </c>
      <c r="D12" s="11">
        <f t="shared" si="1"/>
        <v>0</v>
      </c>
      <c r="E12" s="11">
        <f t="shared" si="0"/>
        <v>0</v>
      </c>
      <c r="F12" s="11">
        <f t="shared" si="0"/>
        <v>0</v>
      </c>
      <c r="G12" s="19"/>
    </row>
    <row r="13" spans="1:7">
      <c r="A13" s="1">
        <v>7</v>
      </c>
      <c r="B13" s="2" t="s">
        <v>19</v>
      </c>
      <c r="C13" s="1">
        <v>0</v>
      </c>
      <c r="D13" s="11">
        <f t="shared" si="1"/>
        <v>0</v>
      </c>
      <c r="E13" s="11">
        <f t="shared" si="0"/>
        <v>0</v>
      </c>
      <c r="F13" s="11">
        <f t="shared" si="0"/>
        <v>0</v>
      </c>
      <c r="G13" s="19"/>
    </row>
    <row r="14" spans="1:7">
      <c r="A14" s="1">
        <v>8</v>
      </c>
      <c r="B14" s="2" t="s">
        <v>20</v>
      </c>
      <c r="C14" s="1">
        <v>0</v>
      </c>
      <c r="D14" s="11">
        <f t="shared" si="1"/>
        <v>0</v>
      </c>
      <c r="E14" s="11">
        <f t="shared" si="0"/>
        <v>0</v>
      </c>
      <c r="F14" s="11">
        <f t="shared" si="0"/>
        <v>0</v>
      </c>
      <c r="G14" s="19"/>
    </row>
    <row r="15" spans="1:7">
      <c r="A15" s="1">
        <v>9</v>
      </c>
      <c r="B15" s="2" t="s">
        <v>21</v>
      </c>
      <c r="C15" s="1">
        <v>0</v>
      </c>
      <c r="D15" s="11">
        <f t="shared" si="1"/>
        <v>0</v>
      </c>
      <c r="E15" s="11">
        <f t="shared" si="0"/>
        <v>0</v>
      </c>
      <c r="F15" s="11">
        <f t="shared" si="0"/>
        <v>0</v>
      </c>
      <c r="G15" s="19"/>
    </row>
    <row r="16" spans="1:7">
      <c r="A16" s="1">
        <v>10</v>
      </c>
      <c r="B16" s="2" t="s">
        <v>22</v>
      </c>
      <c r="C16" s="1">
        <v>0</v>
      </c>
      <c r="D16" s="11">
        <f t="shared" si="1"/>
        <v>0</v>
      </c>
      <c r="E16" s="11">
        <f t="shared" si="0"/>
        <v>0</v>
      </c>
      <c r="F16" s="11">
        <f t="shared" si="0"/>
        <v>0</v>
      </c>
      <c r="G16" s="19"/>
    </row>
    <row r="17" spans="1:7">
      <c r="A17" s="1">
        <v>11</v>
      </c>
      <c r="B17" s="2" t="s">
        <v>23</v>
      </c>
      <c r="C17" s="1">
        <v>0</v>
      </c>
      <c r="D17" s="11">
        <f t="shared" si="1"/>
        <v>0</v>
      </c>
      <c r="E17" s="11">
        <f t="shared" si="0"/>
        <v>0</v>
      </c>
      <c r="F17" s="11">
        <f t="shared" si="0"/>
        <v>0</v>
      </c>
      <c r="G17" s="19"/>
    </row>
    <row r="18" spans="1:7">
      <c r="A18" s="3"/>
      <c r="B18" s="2" t="s">
        <v>24</v>
      </c>
      <c r="C18" s="1">
        <v>0</v>
      </c>
      <c r="D18" s="11">
        <f t="shared" si="1"/>
        <v>0</v>
      </c>
      <c r="E18" s="11">
        <f t="shared" si="0"/>
        <v>0</v>
      </c>
      <c r="F18" s="11">
        <f t="shared" si="0"/>
        <v>0</v>
      </c>
      <c r="G18" s="19"/>
    </row>
    <row r="19" spans="1:7">
      <c r="A19" s="3"/>
      <c r="B19" s="2" t="s">
        <v>25</v>
      </c>
      <c r="C19" s="1">
        <v>0</v>
      </c>
      <c r="D19" s="11">
        <f t="shared" si="1"/>
        <v>0</v>
      </c>
      <c r="E19" s="11">
        <f t="shared" si="0"/>
        <v>0</v>
      </c>
      <c r="F19" s="11">
        <f t="shared" si="0"/>
        <v>0</v>
      </c>
      <c r="G19" s="19"/>
    </row>
    <row r="20" spans="1:7">
      <c r="A20" s="3"/>
      <c r="B20" s="4" t="s">
        <v>4</v>
      </c>
      <c r="C20" s="5">
        <f>SUM(C6:C19)</f>
        <v>0</v>
      </c>
      <c r="D20" s="5">
        <f>SUM(D6:D19)</f>
        <v>0</v>
      </c>
      <c r="E20" s="5">
        <f>SUM(E6:E19)</f>
        <v>0</v>
      </c>
      <c r="F20" s="5">
        <f>SUM(F6:F19)</f>
        <v>0</v>
      </c>
      <c r="G20" s="20"/>
    </row>
    <row r="22" spans="1:7" ht="15.5" hidden="1">
      <c r="A22" t="s">
        <v>29</v>
      </c>
      <c r="F22" s="7" t="s">
        <v>32</v>
      </c>
    </row>
    <row r="23" spans="1:7" hidden="1">
      <c r="A23" t="s">
        <v>30</v>
      </c>
      <c r="F23" t="s">
        <v>33</v>
      </c>
    </row>
    <row r="24" spans="1:7" hidden="1">
      <c r="A24" t="s">
        <v>31</v>
      </c>
    </row>
    <row r="25" spans="1:7" hidden="1"/>
    <row r="26" spans="1:7" hidden="1"/>
    <row r="27" spans="1:7" hidden="1">
      <c r="F27" t="s">
        <v>26</v>
      </c>
    </row>
    <row r="28" spans="1:7" hidden="1">
      <c r="F28" s="6" t="s">
        <v>27</v>
      </c>
      <c r="G28" s="6"/>
    </row>
    <row r="29" spans="1:7" hidden="1">
      <c r="F29" s="6" t="s">
        <v>28</v>
      </c>
      <c r="G29" s="6"/>
    </row>
    <row r="30" spans="1:7" hidden="1"/>
  </sheetData>
  <mergeCells count="6">
    <mergeCell ref="G5:G20"/>
    <mergeCell ref="A1:G1"/>
    <mergeCell ref="A2:G2"/>
    <mergeCell ref="D3:G3"/>
    <mergeCell ref="C4:D4"/>
    <mergeCell ref="E4:F4"/>
  </mergeCells>
  <pageMargins left="0.7" right="0.7" top="0.75" bottom="0.75" header="0.3" footer="0.3"/>
  <pageSetup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topLeftCell="A2" workbookViewId="0">
      <selection activeCell="G7" sqref="G7"/>
    </sheetView>
  </sheetViews>
  <sheetFormatPr defaultRowHeight="14.5"/>
  <cols>
    <col min="2" max="2" width="29.81640625" bestFit="1" customWidth="1"/>
    <col min="3" max="6" width="14" customWidth="1"/>
    <col min="7" max="7" width="12.26953125" customWidth="1"/>
  </cols>
  <sheetData>
    <row r="1" spans="1:7">
      <c r="A1" s="15" t="s">
        <v>0</v>
      </c>
      <c r="B1" s="15"/>
      <c r="C1" s="15"/>
      <c r="D1" s="15"/>
      <c r="E1" s="15"/>
      <c r="F1" s="15"/>
      <c r="G1" s="15"/>
    </row>
    <row r="2" spans="1:7">
      <c r="A2" s="21" t="s">
        <v>1</v>
      </c>
      <c r="B2" s="21"/>
      <c r="C2" s="21"/>
      <c r="D2" s="21"/>
      <c r="E2" s="21"/>
      <c r="F2" s="21"/>
      <c r="G2" s="21"/>
    </row>
    <row r="3" spans="1:7">
      <c r="A3" s="24"/>
      <c r="B3" s="25"/>
      <c r="C3" s="25"/>
      <c r="D3" s="25"/>
      <c r="E3" s="25"/>
      <c r="F3" s="25"/>
      <c r="G3" s="26"/>
    </row>
    <row r="4" spans="1:7">
      <c r="A4" s="14" t="s">
        <v>2</v>
      </c>
      <c r="B4" s="22" t="s">
        <v>3</v>
      </c>
      <c r="C4" s="23"/>
      <c r="D4" s="21" t="s">
        <v>47</v>
      </c>
      <c r="E4" s="21"/>
      <c r="F4" s="21"/>
      <c r="G4" s="21"/>
    </row>
    <row r="5" spans="1:7">
      <c r="A5" s="27" t="s">
        <v>5</v>
      </c>
      <c r="B5" s="27" t="s">
        <v>6</v>
      </c>
      <c r="C5" s="21" t="s">
        <v>7</v>
      </c>
      <c r="D5" s="21"/>
      <c r="E5" s="22" t="s">
        <v>8</v>
      </c>
      <c r="F5" s="23"/>
      <c r="G5" s="14" t="s">
        <v>9</v>
      </c>
    </row>
    <row r="6" spans="1:7">
      <c r="A6" s="28"/>
      <c r="B6" s="28"/>
      <c r="C6" s="14" t="s">
        <v>10</v>
      </c>
      <c r="D6" s="14" t="s">
        <v>11</v>
      </c>
      <c r="E6" s="14" t="s">
        <v>10</v>
      </c>
      <c r="F6" s="14" t="s">
        <v>11</v>
      </c>
      <c r="G6" s="14"/>
    </row>
    <row r="7" spans="1:7" ht="44.25" customHeight="1">
      <c r="A7" s="1">
        <v>1</v>
      </c>
      <c r="B7" s="8" t="s">
        <v>12</v>
      </c>
      <c r="C7" s="11">
        <v>25</v>
      </c>
      <c r="D7" s="11">
        <f>C7*400000</f>
        <v>10000000</v>
      </c>
      <c r="E7" s="1">
        <v>0</v>
      </c>
      <c r="F7" s="1">
        <v>0</v>
      </c>
      <c r="G7" s="13"/>
    </row>
    <row r="8" spans="1:7">
      <c r="A8" s="1">
        <v>2</v>
      </c>
      <c r="B8" s="2" t="s">
        <v>13</v>
      </c>
      <c r="C8" s="1">
        <v>6</v>
      </c>
      <c r="D8" s="1">
        <v>600000</v>
      </c>
      <c r="E8" s="1">
        <v>0</v>
      </c>
      <c r="F8" s="1">
        <v>0</v>
      </c>
      <c r="G8" s="12"/>
    </row>
    <row r="9" spans="1:7">
      <c r="A9" s="1">
        <v>3</v>
      </c>
      <c r="B9" s="2" t="s">
        <v>14</v>
      </c>
      <c r="C9" s="1">
        <v>2</v>
      </c>
      <c r="D9" s="1">
        <v>145632</v>
      </c>
      <c r="E9" s="1">
        <v>0</v>
      </c>
      <c r="F9" s="1">
        <v>0</v>
      </c>
      <c r="G9" s="12"/>
    </row>
    <row r="10" spans="1:7">
      <c r="A10" s="1">
        <v>4</v>
      </c>
      <c r="B10" s="2" t="s">
        <v>15</v>
      </c>
      <c r="C10" s="1">
        <v>0</v>
      </c>
      <c r="D10" s="1">
        <v>0</v>
      </c>
      <c r="E10" s="1">
        <v>0</v>
      </c>
      <c r="F10" s="1">
        <v>0</v>
      </c>
      <c r="G10" s="12"/>
    </row>
    <row r="11" spans="1:7">
      <c r="A11" s="1">
        <v>5</v>
      </c>
      <c r="B11" s="2" t="s">
        <v>16</v>
      </c>
      <c r="C11" s="1">
        <v>15</v>
      </c>
      <c r="D11" s="1">
        <v>300000</v>
      </c>
      <c r="E11" s="1">
        <v>0</v>
      </c>
      <c r="F11" s="1">
        <v>0</v>
      </c>
      <c r="G11" s="12"/>
    </row>
    <row r="12" spans="1:7">
      <c r="A12" s="1">
        <v>6</v>
      </c>
      <c r="B12" s="2" t="s">
        <v>17</v>
      </c>
      <c r="C12" s="1">
        <v>36</v>
      </c>
      <c r="D12" s="1">
        <v>164000</v>
      </c>
      <c r="E12" s="1">
        <v>0</v>
      </c>
      <c r="F12" s="1">
        <v>0</v>
      </c>
      <c r="G12" s="12"/>
    </row>
    <row r="13" spans="1:7">
      <c r="A13" s="1"/>
      <c r="B13" s="2" t="s">
        <v>18</v>
      </c>
      <c r="C13" s="1">
        <v>0</v>
      </c>
      <c r="D13" s="1">
        <v>0</v>
      </c>
      <c r="E13" s="1">
        <v>0</v>
      </c>
      <c r="F13" s="1">
        <v>0</v>
      </c>
      <c r="G13" s="12"/>
    </row>
    <row r="14" spans="1:7">
      <c r="A14" s="1">
        <v>7</v>
      </c>
      <c r="B14" s="2" t="s">
        <v>19</v>
      </c>
      <c r="C14" s="1">
        <v>23</v>
      </c>
      <c r="D14" s="1">
        <v>857864</v>
      </c>
      <c r="E14" s="1">
        <v>0</v>
      </c>
      <c r="F14" s="1">
        <v>0</v>
      </c>
      <c r="G14" s="12"/>
    </row>
    <row r="15" spans="1:7">
      <c r="A15" s="1">
        <v>8</v>
      </c>
      <c r="B15" s="2" t="s">
        <v>20</v>
      </c>
      <c r="C15" s="1">
        <v>3</v>
      </c>
      <c r="D15" s="1">
        <v>153950</v>
      </c>
      <c r="E15" s="1">
        <v>0</v>
      </c>
      <c r="F15" s="1">
        <v>0</v>
      </c>
      <c r="G15" s="12"/>
    </row>
    <row r="16" spans="1:7">
      <c r="A16" s="1">
        <v>9</v>
      </c>
      <c r="B16" s="2" t="s">
        <v>21</v>
      </c>
      <c r="C16" s="1">
        <v>1</v>
      </c>
      <c r="D16" s="1">
        <v>8224</v>
      </c>
      <c r="E16" s="1">
        <v>0</v>
      </c>
      <c r="F16" s="1">
        <v>0</v>
      </c>
      <c r="G16" s="12"/>
    </row>
    <row r="17" spans="1:7">
      <c r="A17" s="1">
        <v>10</v>
      </c>
      <c r="B17" s="2" t="s">
        <v>22</v>
      </c>
      <c r="C17" s="1">
        <v>0</v>
      </c>
      <c r="D17" s="1">
        <v>0</v>
      </c>
      <c r="E17" s="1">
        <v>0</v>
      </c>
      <c r="F17" s="1">
        <v>0</v>
      </c>
      <c r="G17" s="12"/>
    </row>
    <row r="18" spans="1:7">
      <c r="A18" s="1">
        <v>11</v>
      </c>
      <c r="B18" s="2" t="s">
        <v>23</v>
      </c>
      <c r="C18" s="1">
        <v>0</v>
      </c>
      <c r="D18" s="1">
        <v>0</v>
      </c>
      <c r="E18" s="1">
        <v>0</v>
      </c>
      <c r="F18" s="1">
        <v>0</v>
      </c>
      <c r="G18" s="12"/>
    </row>
    <row r="19" spans="1:7">
      <c r="A19" s="3"/>
      <c r="B19" s="2" t="s">
        <v>24</v>
      </c>
      <c r="C19" s="1">
        <v>0</v>
      </c>
      <c r="D19" s="1">
        <v>0</v>
      </c>
      <c r="E19" s="1">
        <v>0</v>
      </c>
      <c r="F19" s="1">
        <v>0</v>
      </c>
      <c r="G19" s="12"/>
    </row>
    <row r="20" spans="1:7">
      <c r="A20" s="3"/>
      <c r="B20" s="2" t="s">
        <v>25</v>
      </c>
      <c r="C20" s="1">
        <v>0</v>
      </c>
      <c r="D20" s="1">
        <v>0</v>
      </c>
      <c r="E20" s="1">
        <v>0</v>
      </c>
      <c r="F20" s="1">
        <v>0</v>
      </c>
      <c r="G20" s="12"/>
    </row>
    <row r="21" spans="1:7">
      <c r="A21" s="3"/>
      <c r="B21" s="4" t="s">
        <v>4</v>
      </c>
      <c r="C21" s="5">
        <f>SUM(C7:C20)</f>
        <v>111</v>
      </c>
      <c r="D21" s="5">
        <f>SUM(D7:D20)</f>
        <v>12229670</v>
      </c>
      <c r="E21" s="5">
        <f>SUM(E7:E20)</f>
        <v>0</v>
      </c>
      <c r="F21" s="5">
        <f>SUM(F7:F20)</f>
        <v>0</v>
      </c>
      <c r="G21" s="12"/>
    </row>
    <row r="23" spans="1:7" ht="15.5" hidden="1">
      <c r="A23" t="s">
        <v>29</v>
      </c>
      <c r="F23" s="7" t="s">
        <v>32</v>
      </c>
    </row>
    <row r="24" spans="1:7" hidden="1">
      <c r="A24" t="s">
        <v>30</v>
      </c>
      <c r="F24" t="s">
        <v>33</v>
      </c>
    </row>
    <row r="25" spans="1:7" hidden="1">
      <c r="A25" t="s">
        <v>31</v>
      </c>
    </row>
    <row r="26" spans="1:7" hidden="1"/>
    <row r="27" spans="1:7" hidden="1"/>
    <row r="28" spans="1:7" hidden="1">
      <c r="F28" t="s">
        <v>26</v>
      </c>
    </row>
    <row r="29" spans="1:7" hidden="1">
      <c r="F29" s="6" t="s">
        <v>27</v>
      </c>
      <c r="G29" s="6"/>
    </row>
    <row r="30" spans="1:7" hidden="1">
      <c r="F30" s="6" t="s">
        <v>28</v>
      </c>
      <c r="G30" s="6"/>
    </row>
    <row r="31" spans="1:7" hidden="1"/>
  </sheetData>
  <mergeCells count="9">
    <mergeCell ref="A1:G1"/>
    <mergeCell ref="A2:G2"/>
    <mergeCell ref="D4:G4"/>
    <mergeCell ref="C5:D5"/>
    <mergeCell ref="E5:F5"/>
    <mergeCell ref="A3:G3"/>
    <mergeCell ref="A5:A6"/>
    <mergeCell ref="B5:B6"/>
    <mergeCell ref="B4:C4"/>
  </mergeCells>
  <pageMargins left="0.7" right="0.7" top="0.75" bottom="0.75" header="0.3" footer="0.3"/>
  <pageSetup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workbookViewId="0">
      <selection sqref="A1:XFD1048576"/>
    </sheetView>
  </sheetViews>
  <sheetFormatPr defaultRowHeight="14.5"/>
  <cols>
    <col min="2" max="2" width="29.81640625" bestFit="1" customWidth="1"/>
    <col min="3" max="6" width="16" customWidth="1"/>
    <col min="7" max="7" width="26.7265625" customWidth="1"/>
  </cols>
  <sheetData>
    <row r="1" spans="1:7">
      <c r="A1" s="15" t="s">
        <v>0</v>
      </c>
      <c r="B1" s="15"/>
      <c r="C1" s="15"/>
      <c r="D1" s="15"/>
      <c r="E1" s="15"/>
      <c r="F1" s="15"/>
      <c r="G1" s="15"/>
    </row>
    <row r="2" spans="1:7">
      <c r="A2" s="21" t="s">
        <v>1</v>
      </c>
      <c r="B2" s="21"/>
      <c r="C2" s="21"/>
      <c r="D2" s="21"/>
      <c r="E2" s="21"/>
      <c r="F2" s="21"/>
      <c r="G2" s="21"/>
    </row>
    <row r="3" spans="1:7">
      <c r="A3" s="24"/>
      <c r="B3" s="25"/>
      <c r="C3" s="25"/>
      <c r="D3" s="25"/>
      <c r="E3" s="25"/>
      <c r="F3" s="25"/>
      <c r="G3" s="26"/>
    </row>
    <row r="4" spans="1:7">
      <c r="A4" s="14" t="s">
        <v>2</v>
      </c>
      <c r="B4" s="22" t="s">
        <v>3</v>
      </c>
      <c r="C4" s="23"/>
      <c r="D4" s="21" t="s">
        <v>37</v>
      </c>
      <c r="E4" s="21"/>
      <c r="F4" s="21"/>
      <c r="G4" s="21"/>
    </row>
    <row r="5" spans="1:7">
      <c r="A5" s="27" t="s">
        <v>5</v>
      </c>
      <c r="B5" s="27" t="s">
        <v>6</v>
      </c>
      <c r="C5" s="21" t="s">
        <v>7</v>
      </c>
      <c r="D5" s="21"/>
      <c r="E5" s="22" t="s">
        <v>8</v>
      </c>
      <c r="F5" s="23"/>
      <c r="G5" s="14" t="s">
        <v>9</v>
      </c>
    </row>
    <row r="6" spans="1:7">
      <c r="A6" s="28"/>
      <c r="B6" s="28"/>
      <c r="C6" s="14" t="s">
        <v>10</v>
      </c>
      <c r="D6" s="14" t="s">
        <v>11</v>
      </c>
      <c r="E6" s="14" t="s">
        <v>10</v>
      </c>
      <c r="F6" s="14" t="s">
        <v>11</v>
      </c>
      <c r="G6" s="14"/>
    </row>
    <row r="7" spans="1:7">
      <c r="A7" s="1">
        <v>1</v>
      </c>
      <c r="B7" s="8" t="s">
        <v>12</v>
      </c>
      <c r="C7" s="11">
        <v>25</v>
      </c>
      <c r="D7" s="11">
        <f>C7*400000</f>
        <v>10000000</v>
      </c>
      <c r="E7" s="1">
        <v>0</v>
      </c>
      <c r="F7" s="1">
        <v>0</v>
      </c>
      <c r="G7" s="13"/>
    </row>
    <row r="8" spans="1:7">
      <c r="A8" s="1">
        <v>2</v>
      </c>
      <c r="B8" s="2" t="s">
        <v>13</v>
      </c>
      <c r="C8" s="1">
        <v>6</v>
      </c>
      <c r="D8" s="1">
        <v>600000</v>
      </c>
      <c r="E8" s="1">
        <v>0</v>
      </c>
      <c r="F8" s="1">
        <v>0</v>
      </c>
      <c r="G8" s="12"/>
    </row>
    <row r="9" spans="1:7">
      <c r="A9" s="1">
        <v>3</v>
      </c>
      <c r="B9" s="2" t="s">
        <v>14</v>
      </c>
      <c r="C9" s="1">
        <v>2</v>
      </c>
      <c r="D9" s="1">
        <v>145632</v>
      </c>
      <c r="E9" s="1">
        <v>0</v>
      </c>
      <c r="F9" s="1">
        <v>0</v>
      </c>
      <c r="G9" s="12"/>
    </row>
    <row r="10" spans="1:7">
      <c r="A10" s="1">
        <v>4</v>
      </c>
      <c r="B10" s="2" t="s">
        <v>15</v>
      </c>
      <c r="C10" s="1">
        <v>0</v>
      </c>
      <c r="D10" s="1">
        <v>0</v>
      </c>
      <c r="E10" s="1">
        <v>0</v>
      </c>
      <c r="F10" s="1">
        <v>0</v>
      </c>
      <c r="G10" s="12"/>
    </row>
    <row r="11" spans="1:7">
      <c r="A11" s="1">
        <v>5</v>
      </c>
      <c r="B11" s="2" t="s">
        <v>16</v>
      </c>
      <c r="C11" s="1">
        <v>15</v>
      </c>
      <c r="D11" s="1">
        <v>300000</v>
      </c>
      <c r="E11" s="1">
        <v>0</v>
      </c>
      <c r="F11" s="1">
        <v>0</v>
      </c>
      <c r="G11" s="12"/>
    </row>
    <row r="12" spans="1:7">
      <c r="A12" s="1">
        <v>6</v>
      </c>
      <c r="B12" s="2" t="s">
        <v>17</v>
      </c>
      <c r="C12" s="1">
        <v>36</v>
      </c>
      <c r="D12" s="1">
        <v>164000</v>
      </c>
      <c r="E12" s="1">
        <v>0</v>
      </c>
      <c r="F12" s="1">
        <v>0</v>
      </c>
      <c r="G12" s="12"/>
    </row>
    <row r="13" spans="1:7">
      <c r="A13" s="1"/>
      <c r="B13" s="2" t="s">
        <v>18</v>
      </c>
      <c r="C13" s="1">
        <v>0</v>
      </c>
      <c r="D13" s="1">
        <v>0</v>
      </c>
      <c r="E13" s="1">
        <v>0</v>
      </c>
      <c r="F13" s="1">
        <v>0</v>
      </c>
      <c r="G13" s="12"/>
    </row>
    <row r="14" spans="1:7">
      <c r="A14" s="1">
        <v>7</v>
      </c>
      <c r="B14" s="2" t="s">
        <v>19</v>
      </c>
      <c r="C14" s="1">
        <v>23</v>
      </c>
      <c r="D14" s="1">
        <v>857864</v>
      </c>
      <c r="E14" s="1">
        <v>0</v>
      </c>
      <c r="F14" s="1">
        <v>0</v>
      </c>
      <c r="G14" s="12"/>
    </row>
    <row r="15" spans="1:7">
      <c r="A15" s="1">
        <v>8</v>
      </c>
      <c r="B15" s="2" t="s">
        <v>20</v>
      </c>
      <c r="C15" s="1">
        <v>3</v>
      </c>
      <c r="D15" s="1">
        <v>153950</v>
      </c>
      <c r="E15" s="1">
        <v>0</v>
      </c>
      <c r="F15" s="1">
        <v>0</v>
      </c>
      <c r="G15" s="12"/>
    </row>
    <row r="16" spans="1:7">
      <c r="A16" s="1">
        <v>9</v>
      </c>
      <c r="B16" s="2" t="s">
        <v>21</v>
      </c>
      <c r="C16" s="1">
        <v>1</v>
      </c>
      <c r="D16" s="1">
        <v>8224</v>
      </c>
      <c r="E16" s="1">
        <v>0</v>
      </c>
      <c r="F16" s="1">
        <v>0</v>
      </c>
      <c r="G16" s="12"/>
    </row>
    <row r="17" spans="1:7">
      <c r="A17" s="1">
        <v>10</v>
      </c>
      <c r="B17" s="2" t="s">
        <v>22</v>
      </c>
      <c r="C17" s="1">
        <v>0</v>
      </c>
      <c r="D17" s="1">
        <v>0</v>
      </c>
      <c r="E17" s="1">
        <v>0</v>
      </c>
      <c r="F17" s="1">
        <v>0</v>
      </c>
      <c r="G17" s="12"/>
    </row>
    <row r="18" spans="1:7">
      <c r="A18" s="1">
        <v>11</v>
      </c>
      <c r="B18" s="2" t="s">
        <v>23</v>
      </c>
      <c r="C18" s="1">
        <v>0</v>
      </c>
      <c r="D18" s="1">
        <v>0</v>
      </c>
      <c r="E18" s="1">
        <v>0</v>
      </c>
      <c r="F18" s="1">
        <v>0</v>
      </c>
      <c r="G18" s="12"/>
    </row>
    <row r="19" spans="1:7">
      <c r="A19" s="3"/>
      <c r="B19" s="2" t="s">
        <v>24</v>
      </c>
      <c r="C19" s="1">
        <v>0</v>
      </c>
      <c r="D19" s="1">
        <v>0</v>
      </c>
      <c r="E19" s="1">
        <v>0</v>
      </c>
      <c r="F19" s="1">
        <v>0</v>
      </c>
      <c r="G19" s="12"/>
    </row>
    <row r="20" spans="1:7">
      <c r="A20" s="3"/>
      <c r="B20" s="2" t="s">
        <v>25</v>
      </c>
      <c r="C20" s="1">
        <v>0</v>
      </c>
      <c r="D20" s="1">
        <v>0</v>
      </c>
      <c r="E20" s="1">
        <v>0</v>
      </c>
      <c r="F20" s="1">
        <v>0</v>
      </c>
      <c r="G20" s="12"/>
    </row>
    <row r="21" spans="1:7">
      <c r="A21" s="3"/>
      <c r="B21" s="4" t="s">
        <v>4</v>
      </c>
      <c r="C21" s="5">
        <f>SUM(C7:C20)</f>
        <v>111</v>
      </c>
      <c r="D21" s="5">
        <f>SUM(D7:D20)</f>
        <v>12229670</v>
      </c>
      <c r="E21" s="5">
        <f>SUM(E7:E20)</f>
        <v>0</v>
      </c>
      <c r="F21" s="5">
        <f>SUM(F7:F20)</f>
        <v>0</v>
      </c>
      <c r="G21" s="12"/>
    </row>
    <row r="22" spans="1:7" ht="15.5" hidden="1">
      <c r="A22" t="s">
        <v>29</v>
      </c>
      <c r="F22" s="7" t="s">
        <v>32</v>
      </c>
    </row>
    <row r="23" spans="1:7" hidden="1">
      <c r="A23" t="s">
        <v>30</v>
      </c>
      <c r="F23" t="s">
        <v>33</v>
      </c>
    </row>
    <row r="24" spans="1:7" hidden="1">
      <c r="A24" t="s">
        <v>31</v>
      </c>
    </row>
    <row r="25" spans="1:7" hidden="1"/>
    <row r="26" spans="1:7" hidden="1"/>
    <row r="27" spans="1:7" hidden="1">
      <c r="F27" t="s">
        <v>26</v>
      </c>
    </row>
    <row r="28" spans="1:7" hidden="1">
      <c r="F28" s="6" t="s">
        <v>27</v>
      </c>
      <c r="G28" s="6"/>
    </row>
    <row r="29" spans="1:7" hidden="1">
      <c r="F29" s="6" t="s">
        <v>28</v>
      </c>
      <c r="G29" s="6"/>
    </row>
    <row r="30" spans="1:7" hidden="1"/>
  </sheetData>
  <mergeCells count="9">
    <mergeCell ref="A5:A6"/>
    <mergeCell ref="B5:B6"/>
    <mergeCell ref="C5:D5"/>
    <mergeCell ref="E5:F5"/>
    <mergeCell ref="A1:G1"/>
    <mergeCell ref="A2:G2"/>
    <mergeCell ref="A3:G3"/>
    <mergeCell ref="B4:C4"/>
    <mergeCell ref="D4:G4"/>
  </mergeCells>
  <pageMargins left="0.7" right="0.7" top="0.75" bottom="0.75" header="0.3" footer="0.3"/>
  <pageSetup scale="7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workbookViewId="0">
      <selection sqref="A1:XFD1048576"/>
    </sheetView>
  </sheetViews>
  <sheetFormatPr defaultRowHeight="14.5"/>
  <cols>
    <col min="2" max="2" width="29.81640625" bestFit="1" customWidth="1"/>
    <col min="3" max="6" width="16" customWidth="1"/>
    <col min="7" max="7" width="26.7265625" customWidth="1"/>
  </cols>
  <sheetData>
    <row r="1" spans="1:7">
      <c r="A1" s="15" t="s">
        <v>0</v>
      </c>
      <c r="B1" s="15"/>
      <c r="C1" s="15"/>
      <c r="D1" s="15"/>
      <c r="E1" s="15"/>
      <c r="F1" s="15"/>
      <c r="G1" s="15"/>
    </row>
    <row r="2" spans="1:7">
      <c r="A2" s="21" t="s">
        <v>1</v>
      </c>
      <c r="B2" s="21"/>
      <c r="C2" s="21"/>
      <c r="D2" s="21"/>
      <c r="E2" s="21"/>
      <c r="F2" s="21"/>
      <c r="G2" s="21"/>
    </row>
    <row r="3" spans="1:7">
      <c r="A3" s="24"/>
      <c r="B3" s="25"/>
      <c r="C3" s="25"/>
      <c r="D3" s="25"/>
      <c r="E3" s="25"/>
      <c r="F3" s="25"/>
      <c r="G3" s="26"/>
    </row>
    <row r="4" spans="1:7">
      <c r="A4" s="14" t="s">
        <v>2</v>
      </c>
      <c r="B4" s="22" t="s">
        <v>3</v>
      </c>
      <c r="C4" s="23"/>
      <c r="D4" s="21" t="s">
        <v>38</v>
      </c>
      <c r="E4" s="21"/>
      <c r="F4" s="21"/>
      <c r="G4" s="21"/>
    </row>
    <row r="5" spans="1:7">
      <c r="A5" s="27" t="s">
        <v>5</v>
      </c>
      <c r="B5" s="27" t="s">
        <v>6</v>
      </c>
      <c r="C5" s="21" t="s">
        <v>7</v>
      </c>
      <c r="D5" s="21"/>
      <c r="E5" s="22" t="s">
        <v>8</v>
      </c>
      <c r="F5" s="23"/>
      <c r="G5" s="14" t="s">
        <v>9</v>
      </c>
    </row>
    <row r="6" spans="1:7">
      <c r="A6" s="28"/>
      <c r="B6" s="28"/>
      <c r="C6" s="14" t="s">
        <v>10</v>
      </c>
      <c r="D6" s="14" t="s">
        <v>11</v>
      </c>
      <c r="E6" s="14" t="s">
        <v>10</v>
      </c>
      <c r="F6" s="14" t="s">
        <v>11</v>
      </c>
      <c r="G6" s="14"/>
    </row>
    <row r="7" spans="1:7">
      <c r="A7" s="1">
        <v>1</v>
      </c>
      <c r="B7" s="8" t="s">
        <v>12</v>
      </c>
      <c r="C7" s="11">
        <v>25</v>
      </c>
      <c r="D7" s="11">
        <f>C7*400000</f>
        <v>10000000</v>
      </c>
      <c r="E7" s="1">
        <f>2+3+2</f>
        <v>7</v>
      </c>
      <c r="F7" s="1">
        <f>531232+879353+250000+350000</f>
        <v>2010585</v>
      </c>
      <c r="G7" s="13"/>
    </row>
    <row r="8" spans="1:7">
      <c r="A8" s="1">
        <v>2</v>
      </c>
      <c r="B8" s="2" t="s">
        <v>13</v>
      </c>
      <c r="C8" s="1">
        <v>6</v>
      </c>
      <c r="D8" s="1">
        <v>600000</v>
      </c>
      <c r="E8" s="1">
        <v>0</v>
      </c>
      <c r="F8" s="1">
        <v>0</v>
      </c>
      <c r="G8" s="12"/>
    </row>
    <row r="9" spans="1:7">
      <c r="A9" s="1">
        <v>3</v>
      </c>
      <c r="B9" s="2" t="s">
        <v>14</v>
      </c>
      <c r="C9" s="1">
        <v>2</v>
      </c>
      <c r="D9" s="1">
        <v>145632</v>
      </c>
      <c r="E9" s="1">
        <v>0</v>
      </c>
      <c r="F9" s="1">
        <v>0</v>
      </c>
      <c r="G9" s="12"/>
    </row>
    <row r="10" spans="1:7">
      <c r="A10" s="1">
        <v>4</v>
      </c>
      <c r="B10" s="2" t="s">
        <v>15</v>
      </c>
      <c r="C10" s="1">
        <v>0</v>
      </c>
      <c r="D10" s="1">
        <v>0</v>
      </c>
      <c r="E10" s="1">
        <v>0</v>
      </c>
      <c r="F10" s="1">
        <v>0</v>
      </c>
      <c r="G10" s="12"/>
    </row>
    <row r="11" spans="1:7">
      <c r="A11" s="1">
        <v>5</v>
      </c>
      <c r="B11" s="2" t="s">
        <v>16</v>
      </c>
      <c r="C11" s="1">
        <v>15</v>
      </c>
      <c r="D11" s="1">
        <v>300000</v>
      </c>
      <c r="E11" s="1">
        <v>0</v>
      </c>
      <c r="F11" s="1">
        <v>0</v>
      </c>
      <c r="G11" s="12"/>
    </row>
    <row r="12" spans="1:7">
      <c r="A12" s="1">
        <v>6</v>
      </c>
      <c r="B12" s="2" t="s">
        <v>17</v>
      </c>
      <c r="C12" s="1">
        <v>36</v>
      </c>
      <c r="D12" s="1">
        <v>164000</v>
      </c>
      <c r="E12" s="1">
        <v>36</v>
      </c>
      <c r="F12" s="1">
        <v>163126</v>
      </c>
      <c r="G12" s="12"/>
    </row>
    <row r="13" spans="1:7">
      <c r="A13" s="1"/>
      <c r="B13" s="2" t="s">
        <v>18</v>
      </c>
      <c r="C13" s="1">
        <v>0</v>
      </c>
      <c r="D13" s="1">
        <v>0</v>
      </c>
      <c r="E13" s="1">
        <v>0</v>
      </c>
      <c r="F13" s="1">
        <v>0</v>
      </c>
      <c r="G13" s="12"/>
    </row>
    <row r="14" spans="1:7">
      <c r="A14" s="1">
        <v>7</v>
      </c>
      <c r="B14" s="2" t="s">
        <v>19</v>
      </c>
      <c r="C14" s="1">
        <v>23</v>
      </c>
      <c r="D14" s="1">
        <v>857864</v>
      </c>
      <c r="E14" s="1">
        <v>1</v>
      </c>
      <c r="F14" s="1">
        <v>35169</v>
      </c>
      <c r="G14" s="12"/>
    </row>
    <row r="15" spans="1:7">
      <c r="A15" s="1">
        <v>8</v>
      </c>
      <c r="B15" s="2" t="s">
        <v>20</v>
      </c>
      <c r="C15" s="1">
        <v>3</v>
      </c>
      <c r="D15" s="1">
        <v>153950</v>
      </c>
      <c r="E15" s="1">
        <v>0</v>
      </c>
      <c r="F15" s="1">
        <v>0</v>
      </c>
      <c r="G15" s="12"/>
    </row>
    <row r="16" spans="1:7">
      <c r="A16" s="1">
        <v>9</v>
      </c>
      <c r="B16" s="2" t="s">
        <v>21</v>
      </c>
      <c r="C16" s="1">
        <v>1</v>
      </c>
      <c r="D16" s="1">
        <v>8224</v>
      </c>
      <c r="E16" s="1">
        <v>0</v>
      </c>
      <c r="F16" s="1">
        <v>0</v>
      </c>
      <c r="G16" s="12"/>
    </row>
    <row r="17" spans="1:7">
      <c r="A17" s="1">
        <v>10</v>
      </c>
      <c r="B17" s="2" t="s">
        <v>22</v>
      </c>
      <c r="C17" s="1">
        <v>0</v>
      </c>
      <c r="D17" s="1">
        <v>0</v>
      </c>
      <c r="E17" s="1">
        <v>0</v>
      </c>
      <c r="F17" s="1">
        <v>0</v>
      </c>
      <c r="G17" s="12"/>
    </row>
    <row r="18" spans="1:7">
      <c r="A18" s="1">
        <v>11</v>
      </c>
      <c r="B18" s="2" t="s">
        <v>23</v>
      </c>
      <c r="C18" s="1">
        <v>0</v>
      </c>
      <c r="D18" s="1">
        <v>0</v>
      </c>
      <c r="E18" s="1">
        <v>0</v>
      </c>
      <c r="F18" s="1">
        <v>0</v>
      </c>
      <c r="G18" s="12"/>
    </row>
    <row r="19" spans="1:7">
      <c r="A19" s="3"/>
      <c r="B19" s="2" t="s">
        <v>24</v>
      </c>
      <c r="C19" s="1">
        <v>0</v>
      </c>
      <c r="D19" s="1">
        <v>0</v>
      </c>
      <c r="E19" s="1"/>
      <c r="F19" s="1">
        <f>35174+21249+6525</f>
        <v>62948</v>
      </c>
      <c r="G19" s="12"/>
    </row>
    <row r="20" spans="1:7">
      <c r="A20" s="3"/>
      <c r="B20" s="2" t="s">
        <v>25</v>
      </c>
      <c r="C20" s="1">
        <v>0</v>
      </c>
      <c r="D20" s="1">
        <v>0</v>
      </c>
      <c r="E20" s="1">
        <v>0</v>
      </c>
      <c r="F20" s="1">
        <v>0</v>
      </c>
      <c r="G20" s="12"/>
    </row>
    <row r="21" spans="1:7">
      <c r="A21" s="3"/>
      <c r="B21" s="4" t="s">
        <v>4</v>
      </c>
      <c r="C21" s="5">
        <f>SUM(C7:C20)</f>
        <v>111</v>
      </c>
      <c r="D21" s="5">
        <f>SUM(D7:D20)</f>
        <v>12229670</v>
      </c>
      <c r="E21" s="5">
        <f>SUM(E7:E20)</f>
        <v>44</v>
      </c>
      <c r="F21" s="5">
        <f>SUM(F7:F20)</f>
        <v>2271828</v>
      </c>
      <c r="G21" s="12"/>
    </row>
    <row r="22" spans="1:7" ht="15.5" hidden="1">
      <c r="A22" t="s">
        <v>29</v>
      </c>
      <c r="F22" s="7" t="s">
        <v>32</v>
      </c>
    </row>
    <row r="23" spans="1:7" hidden="1">
      <c r="A23" t="s">
        <v>30</v>
      </c>
      <c r="F23" t="s">
        <v>33</v>
      </c>
    </row>
    <row r="24" spans="1:7" hidden="1">
      <c r="A24" t="s">
        <v>31</v>
      </c>
    </row>
    <row r="25" spans="1:7" hidden="1"/>
    <row r="26" spans="1:7" hidden="1"/>
    <row r="27" spans="1:7" hidden="1">
      <c r="F27" t="s">
        <v>26</v>
      </c>
    </row>
    <row r="28" spans="1:7" hidden="1">
      <c r="F28" s="6" t="s">
        <v>27</v>
      </c>
      <c r="G28" s="6"/>
    </row>
    <row r="29" spans="1:7" hidden="1">
      <c r="F29" s="6" t="s">
        <v>28</v>
      </c>
      <c r="G29" s="6"/>
    </row>
    <row r="30" spans="1:7" hidden="1"/>
  </sheetData>
  <mergeCells count="9">
    <mergeCell ref="A5:A6"/>
    <mergeCell ref="B5:B6"/>
    <mergeCell ref="C5:D5"/>
    <mergeCell ref="E5:F5"/>
    <mergeCell ref="A1:G1"/>
    <mergeCell ref="A2:G2"/>
    <mergeCell ref="A3:G3"/>
    <mergeCell ref="B4:C4"/>
    <mergeCell ref="D4:G4"/>
  </mergeCells>
  <pageMargins left="0.7" right="0.7" top="0.75" bottom="0.75" header="0.3" footer="0.3"/>
  <pageSetup scale="7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workbookViewId="0">
      <selection sqref="A1:XFD1048576"/>
    </sheetView>
  </sheetViews>
  <sheetFormatPr defaultRowHeight="14.5"/>
  <cols>
    <col min="2" max="2" width="29.81640625" bestFit="1" customWidth="1"/>
    <col min="3" max="6" width="16" customWidth="1"/>
    <col min="7" max="7" width="26.7265625" customWidth="1"/>
  </cols>
  <sheetData>
    <row r="1" spans="1:7">
      <c r="A1" s="15" t="s">
        <v>0</v>
      </c>
      <c r="B1" s="15"/>
      <c r="C1" s="15"/>
      <c r="D1" s="15"/>
      <c r="E1" s="15"/>
      <c r="F1" s="15"/>
      <c r="G1" s="15"/>
    </row>
    <row r="2" spans="1:7">
      <c r="A2" s="21" t="s">
        <v>1</v>
      </c>
      <c r="B2" s="21"/>
      <c r="C2" s="21"/>
      <c r="D2" s="21"/>
      <c r="E2" s="21"/>
      <c r="F2" s="21"/>
      <c r="G2" s="21"/>
    </row>
    <row r="3" spans="1:7">
      <c r="A3" s="24"/>
      <c r="B3" s="25"/>
      <c r="C3" s="25"/>
      <c r="D3" s="25"/>
      <c r="E3" s="25"/>
      <c r="F3" s="25"/>
      <c r="G3" s="26"/>
    </row>
    <row r="4" spans="1:7">
      <c r="A4" s="14" t="s">
        <v>2</v>
      </c>
      <c r="B4" s="22" t="s">
        <v>3</v>
      </c>
      <c r="C4" s="23"/>
      <c r="D4" s="21" t="s">
        <v>39</v>
      </c>
      <c r="E4" s="21"/>
      <c r="F4" s="21"/>
      <c r="G4" s="21"/>
    </row>
    <row r="5" spans="1:7">
      <c r="A5" s="27" t="s">
        <v>5</v>
      </c>
      <c r="B5" s="27" t="s">
        <v>6</v>
      </c>
      <c r="C5" s="21" t="s">
        <v>7</v>
      </c>
      <c r="D5" s="21"/>
      <c r="E5" s="22" t="s">
        <v>8</v>
      </c>
      <c r="F5" s="23"/>
      <c r="G5" s="14" t="s">
        <v>9</v>
      </c>
    </row>
    <row r="6" spans="1:7">
      <c r="A6" s="28"/>
      <c r="B6" s="28"/>
      <c r="C6" s="14" t="s">
        <v>10</v>
      </c>
      <c r="D6" s="14" t="s">
        <v>11</v>
      </c>
      <c r="E6" s="14" t="s">
        <v>10</v>
      </c>
      <c r="F6" s="14" t="s">
        <v>11</v>
      </c>
      <c r="G6" s="14"/>
    </row>
    <row r="7" spans="1:7">
      <c r="A7" s="1">
        <v>1</v>
      </c>
      <c r="B7" s="8" t="s">
        <v>12</v>
      </c>
      <c r="C7" s="11">
        <v>25</v>
      </c>
      <c r="D7" s="11">
        <f>C7*400000</f>
        <v>10000000</v>
      </c>
      <c r="E7" s="1">
        <v>16</v>
      </c>
      <c r="F7" s="1">
        <v>4843835</v>
      </c>
      <c r="G7" s="13"/>
    </row>
    <row r="8" spans="1:7">
      <c r="A8" s="1">
        <v>2</v>
      </c>
      <c r="B8" s="2" t="s">
        <v>13</v>
      </c>
      <c r="C8" s="1">
        <v>6</v>
      </c>
      <c r="D8" s="1">
        <v>600000</v>
      </c>
      <c r="E8" s="1">
        <v>1</v>
      </c>
      <c r="F8" s="1">
        <v>100000</v>
      </c>
      <c r="G8" s="12"/>
    </row>
    <row r="9" spans="1:7">
      <c r="A9" s="1">
        <v>3</v>
      </c>
      <c r="B9" s="2" t="s">
        <v>14</v>
      </c>
      <c r="C9" s="1">
        <v>2</v>
      </c>
      <c r="D9" s="1">
        <v>145632</v>
      </c>
      <c r="E9" s="1">
        <v>2</v>
      </c>
      <c r="F9" s="1">
        <v>145630</v>
      </c>
      <c r="G9" s="12"/>
    </row>
    <row r="10" spans="1:7">
      <c r="A10" s="1">
        <v>4</v>
      </c>
      <c r="B10" s="2" t="s">
        <v>15</v>
      </c>
      <c r="C10" s="1">
        <v>0</v>
      </c>
      <c r="D10" s="1">
        <v>0</v>
      </c>
      <c r="E10" s="1">
        <v>0</v>
      </c>
      <c r="F10" s="1">
        <v>0</v>
      </c>
      <c r="G10" s="12"/>
    </row>
    <row r="11" spans="1:7">
      <c r="A11" s="1">
        <v>5</v>
      </c>
      <c r="B11" s="2" t="s">
        <v>16</v>
      </c>
      <c r="C11" s="1">
        <v>15</v>
      </c>
      <c r="D11" s="1">
        <v>300000</v>
      </c>
      <c r="E11" s="1">
        <v>0</v>
      </c>
      <c r="F11" s="1">
        <v>0</v>
      </c>
      <c r="G11" s="12"/>
    </row>
    <row r="12" spans="1:7">
      <c r="A12" s="1">
        <v>6</v>
      </c>
      <c r="B12" s="2" t="s">
        <v>17</v>
      </c>
      <c r="C12" s="1">
        <v>36</v>
      </c>
      <c r="D12" s="1">
        <v>164000</v>
      </c>
      <c r="E12" s="1">
        <v>35</v>
      </c>
      <c r="F12" s="1">
        <v>163126</v>
      </c>
      <c r="G12" s="12"/>
    </row>
    <row r="13" spans="1:7">
      <c r="A13" s="1"/>
      <c r="B13" s="2" t="s">
        <v>18</v>
      </c>
      <c r="C13" s="1">
        <v>0</v>
      </c>
      <c r="D13" s="1">
        <v>0</v>
      </c>
      <c r="E13" s="1">
        <v>0</v>
      </c>
      <c r="F13" s="1">
        <v>0</v>
      </c>
      <c r="G13" s="12"/>
    </row>
    <row r="14" spans="1:7">
      <c r="A14" s="1">
        <v>7</v>
      </c>
      <c r="B14" s="2" t="s">
        <v>19</v>
      </c>
      <c r="C14" s="1">
        <v>23</v>
      </c>
      <c r="D14" s="1">
        <v>857864</v>
      </c>
      <c r="E14" s="1">
        <v>6</v>
      </c>
      <c r="F14" s="1">
        <v>203643</v>
      </c>
      <c r="G14" s="12"/>
    </row>
    <row r="15" spans="1:7">
      <c r="A15" s="1">
        <v>8</v>
      </c>
      <c r="B15" s="2" t="s">
        <v>20</v>
      </c>
      <c r="C15" s="1">
        <v>3</v>
      </c>
      <c r="D15" s="1">
        <v>153950</v>
      </c>
      <c r="E15" s="1">
        <v>0</v>
      </c>
      <c r="F15" s="1">
        <v>0</v>
      </c>
      <c r="G15" s="12"/>
    </row>
    <row r="16" spans="1:7">
      <c r="A16" s="1">
        <v>9</v>
      </c>
      <c r="B16" s="2" t="s">
        <v>21</v>
      </c>
      <c r="C16" s="1">
        <v>1</v>
      </c>
      <c r="D16" s="1">
        <v>8224</v>
      </c>
      <c r="E16" s="1">
        <v>0</v>
      </c>
      <c r="F16" s="1">
        <v>0</v>
      </c>
      <c r="G16" s="12"/>
    </row>
    <row r="17" spans="1:7">
      <c r="A17" s="1">
        <v>10</v>
      </c>
      <c r="B17" s="2" t="s">
        <v>22</v>
      </c>
      <c r="C17" s="1">
        <v>0</v>
      </c>
      <c r="D17" s="1">
        <v>0</v>
      </c>
      <c r="E17" s="1">
        <v>0</v>
      </c>
      <c r="F17" s="1">
        <v>0</v>
      </c>
      <c r="G17" s="12"/>
    </row>
    <row r="18" spans="1:7">
      <c r="A18" s="1">
        <v>11</v>
      </c>
      <c r="B18" s="2" t="s">
        <v>23</v>
      </c>
      <c r="C18" s="1">
        <v>0</v>
      </c>
      <c r="D18" s="1">
        <v>0</v>
      </c>
      <c r="E18" s="1">
        <v>0</v>
      </c>
      <c r="F18" s="1">
        <v>0</v>
      </c>
      <c r="G18" s="12"/>
    </row>
    <row r="19" spans="1:7">
      <c r="A19" s="3"/>
      <c r="B19" s="2" t="s">
        <v>24</v>
      </c>
      <c r="C19" s="1">
        <v>0</v>
      </c>
      <c r="D19" s="1">
        <v>0</v>
      </c>
      <c r="E19" s="1"/>
      <c r="F19" s="1">
        <v>218249</v>
      </c>
      <c r="G19" s="12"/>
    </row>
    <row r="20" spans="1:7">
      <c r="A20" s="3"/>
      <c r="B20" s="2" t="s">
        <v>25</v>
      </c>
      <c r="C20" s="1">
        <v>0</v>
      </c>
      <c r="D20" s="1">
        <v>0</v>
      </c>
      <c r="E20" s="1">
        <v>0</v>
      </c>
      <c r="F20" s="1">
        <v>0</v>
      </c>
      <c r="G20" s="12"/>
    </row>
    <row r="21" spans="1:7">
      <c r="A21" s="3"/>
      <c r="B21" s="4" t="s">
        <v>4</v>
      </c>
      <c r="C21" s="5">
        <f>SUM(C7:C20)</f>
        <v>111</v>
      </c>
      <c r="D21" s="5">
        <f>SUM(D7:D20)</f>
        <v>12229670</v>
      </c>
      <c r="E21" s="5">
        <f>SUM(E7:E20)</f>
        <v>60</v>
      </c>
      <c r="F21" s="5">
        <f>SUM(F7:F20)</f>
        <v>5674483</v>
      </c>
      <c r="G21" s="12"/>
    </row>
    <row r="22" spans="1:7" ht="15.5" hidden="1">
      <c r="A22" t="s">
        <v>29</v>
      </c>
      <c r="F22" s="7" t="s">
        <v>32</v>
      </c>
    </row>
    <row r="23" spans="1:7" hidden="1">
      <c r="A23" t="s">
        <v>30</v>
      </c>
      <c r="F23" t="s">
        <v>33</v>
      </c>
    </row>
    <row r="24" spans="1:7" hidden="1">
      <c r="A24" t="s">
        <v>31</v>
      </c>
    </row>
    <row r="25" spans="1:7" hidden="1"/>
    <row r="26" spans="1:7" hidden="1"/>
    <row r="27" spans="1:7" hidden="1">
      <c r="F27" t="s">
        <v>26</v>
      </c>
    </row>
    <row r="28" spans="1:7" hidden="1">
      <c r="F28" s="6" t="s">
        <v>27</v>
      </c>
      <c r="G28" s="6"/>
    </row>
    <row r="29" spans="1:7" hidden="1">
      <c r="F29" s="6" t="s">
        <v>28</v>
      </c>
      <c r="G29" s="6"/>
    </row>
    <row r="30" spans="1:7" hidden="1"/>
  </sheetData>
  <mergeCells count="9">
    <mergeCell ref="A5:A6"/>
    <mergeCell ref="B5:B6"/>
    <mergeCell ref="C5:D5"/>
    <mergeCell ref="E5:F5"/>
    <mergeCell ref="A1:G1"/>
    <mergeCell ref="A2:G2"/>
    <mergeCell ref="A3:G3"/>
    <mergeCell ref="B4:C4"/>
    <mergeCell ref="D4:G4"/>
  </mergeCells>
  <pageMargins left="0.7" right="0.7" top="0.75" bottom="0.75" header="0.3" footer="0.3"/>
  <pageSetup scale="7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"/>
  <sheetViews>
    <sheetView workbookViewId="0">
      <selection activeCell="E8" sqref="E8"/>
    </sheetView>
  </sheetViews>
  <sheetFormatPr defaultRowHeight="14.5"/>
  <cols>
    <col min="2" max="2" width="29.81640625" bestFit="1" customWidth="1"/>
    <col min="3" max="6" width="16" customWidth="1"/>
    <col min="7" max="7" width="26.7265625" customWidth="1"/>
  </cols>
  <sheetData>
    <row r="1" spans="1:7">
      <c r="A1" s="15" t="s">
        <v>0</v>
      </c>
      <c r="B1" s="15"/>
      <c r="C1" s="15"/>
      <c r="D1" s="15"/>
      <c r="E1" s="15"/>
      <c r="F1" s="15"/>
      <c r="G1" s="15"/>
    </row>
    <row r="2" spans="1:7">
      <c r="A2" s="21" t="s">
        <v>41</v>
      </c>
      <c r="B2" s="21"/>
      <c r="C2" s="21"/>
      <c r="D2" s="21"/>
      <c r="E2" s="21"/>
      <c r="F2" s="21"/>
      <c r="G2" s="21"/>
    </row>
    <row r="3" spans="1:7">
      <c r="A3" s="24"/>
      <c r="B3" s="25"/>
      <c r="C3" s="25"/>
      <c r="D3" s="25"/>
      <c r="E3" s="25"/>
      <c r="F3" s="25"/>
      <c r="G3" s="26"/>
    </row>
    <row r="4" spans="1:7">
      <c r="A4" s="14" t="s">
        <v>2</v>
      </c>
      <c r="B4" s="22" t="s">
        <v>3</v>
      </c>
      <c r="C4" s="23"/>
      <c r="D4" s="21" t="s">
        <v>40</v>
      </c>
      <c r="E4" s="21"/>
      <c r="F4" s="21"/>
      <c r="G4" s="21"/>
    </row>
    <row r="5" spans="1:7">
      <c r="A5" s="27" t="s">
        <v>5</v>
      </c>
      <c r="B5" s="27" t="s">
        <v>6</v>
      </c>
      <c r="C5" s="21" t="s">
        <v>7</v>
      </c>
      <c r="D5" s="21"/>
      <c r="E5" s="22" t="s">
        <v>8</v>
      </c>
      <c r="F5" s="23"/>
      <c r="G5" s="14" t="s">
        <v>9</v>
      </c>
    </row>
    <row r="6" spans="1:7">
      <c r="A6" s="28"/>
      <c r="B6" s="28"/>
      <c r="C6" s="14" t="s">
        <v>10</v>
      </c>
      <c r="D6" s="14" t="s">
        <v>11</v>
      </c>
      <c r="E6" s="14" t="s">
        <v>10</v>
      </c>
      <c r="F6" s="14" t="s">
        <v>11</v>
      </c>
      <c r="G6" s="14"/>
    </row>
    <row r="7" spans="1:7">
      <c r="A7" s="1">
        <v>1</v>
      </c>
      <c r="B7" s="8" t="s">
        <v>12</v>
      </c>
      <c r="C7" s="11">
        <v>25</v>
      </c>
      <c r="D7" s="11">
        <f>C7*400000</f>
        <v>10000000</v>
      </c>
      <c r="E7" s="1">
        <v>19</v>
      </c>
      <c r="F7" s="1">
        <f>4843835+400000+50000+256930+225075+294663</f>
        <v>6070503</v>
      </c>
      <c r="G7" s="13"/>
    </row>
    <row r="8" spans="1:7">
      <c r="A8" s="1">
        <v>2</v>
      </c>
      <c r="B8" s="2" t="s">
        <v>13</v>
      </c>
      <c r="C8" s="1">
        <v>6</v>
      </c>
      <c r="D8" s="1">
        <v>600000</v>
      </c>
      <c r="E8" s="1">
        <v>3</v>
      </c>
      <c r="F8" s="1">
        <v>272040</v>
      </c>
      <c r="G8" s="12"/>
    </row>
    <row r="9" spans="1:7">
      <c r="A9" s="1">
        <v>3</v>
      </c>
      <c r="B9" s="2" t="s">
        <v>14</v>
      </c>
      <c r="C9" s="1">
        <v>2</v>
      </c>
      <c r="D9" s="1">
        <v>145632</v>
      </c>
      <c r="E9" s="1">
        <v>2</v>
      </c>
      <c r="F9" s="1">
        <v>145630</v>
      </c>
      <c r="G9" s="12"/>
    </row>
    <row r="10" spans="1:7">
      <c r="A10" s="1">
        <v>4</v>
      </c>
      <c r="B10" s="2" t="s">
        <v>15</v>
      </c>
      <c r="C10" s="1">
        <v>0</v>
      </c>
      <c r="D10" s="1">
        <v>0</v>
      </c>
      <c r="E10" s="1">
        <v>0</v>
      </c>
      <c r="F10" s="1">
        <v>0</v>
      </c>
      <c r="G10" s="12"/>
    </row>
    <row r="11" spans="1:7">
      <c r="A11" s="1">
        <v>5</v>
      </c>
      <c r="B11" s="2" t="s">
        <v>16</v>
      </c>
      <c r="C11" s="1">
        <v>15</v>
      </c>
      <c r="D11" s="1">
        <v>300000</v>
      </c>
      <c r="E11" s="1">
        <v>0</v>
      </c>
      <c r="F11" s="1">
        <v>0</v>
      </c>
      <c r="G11" s="12"/>
    </row>
    <row r="12" spans="1:7">
      <c r="A12" s="1">
        <v>6</v>
      </c>
      <c r="B12" s="2" t="s">
        <v>17</v>
      </c>
      <c r="C12" s="1">
        <v>36</v>
      </c>
      <c r="D12" s="1">
        <v>164000</v>
      </c>
      <c r="E12" s="1">
        <v>35</v>
      </c>
      <c r="F12" s="1">
        <v>163126</v>
      </c>
      <c r="G12" s="12"/>
    </row>
    <row r="13" spans="1:7">
      <c r="A13" s="1"/>
      <c r="B13" s="2" t="s">
        <v>18</v>
      </c>
      <c r="C13" s="1">
        <v>0</v>
      </c>
      <c r="D13" s="1">
        <v>0</v>
      </c>
      <c r="E13" s="1">
        <v>0</v>
      </c>
      <c r="F13" s="1">
        <v>0</v>
      </c>
      <c r="G13" s="12"/>
    </row>
    <row r="14" spans="1:7">
      <c r="A14" s="1">
        <v>7</v>
      </c>
      <c r="B14" s="2" t="s">
        <v>19</v>
      </c>
      <c r="C14" s="1">
        <v>23</v>
      </c>
      <c r="D14" s="1">
        <v>857864</v>
      </c>
      <c r="E14" s="1">
        <v>11</v>
      </c>
      <c r="F14" s="1">
        <f>203643+35158+35381+38151+38151+36610</f>
        <v>387094</v>
      </c>
      <c r="G14" s="12"/>
    </row>
    <row r="15" spans="1:7">
      <c r="A15" s="1">
        <v>8</v>
      </c>
      <c r="B15" s="2" t="s">
        <v>20</v>
      </c>
      <c r="C15" s="1">
        <v>3</v>
      </c>
      <c r="D15" s="1">
        <v>153950</v>
      </c>
      <c r="E15" s="1">
        <v>0</v>
      </c>
      <c r="F15" s="1">
        <v>0</v>
      </c>
      <c r="G15" s="12"/>
    </row>
    <row r="16" spans="1:7">
      <c r="A16" s="1">
        <v>9</v>
      </c>
      <c r="B16" s="2" t="s">
        <v>21</v>
      </c>
      <c r="C16" s="1">
        <v>1</v>
      </c>
      <c r="D16" s="1">
        <v>8224</v>
      </c>
      <c r="E16" s="1">
        <v>0</v>
      </c>
      <c r="F16" s="1">
        <v>0</v>
      </c>
      <c r="G16" s="12"/>
    </row>
    <row r="17" spans="1:7">
      <c r="A17" s="1">
        <v>10</v>
      </c>
      <c r="B17" s="2" t="s">
        <v>22</v>
      </c>
      <c r="C17" s="1">
        <v>0</v>
      </c>
      <c r="D17" s="1">
        <v>0</v>
      </c>
      <c r="E17" s="1">
        <v>0</v>
      </c>
      <c r="F17" s="1">
        <v>0</v>
      </c>
      <c r="G17" s="12"/>
    </row>
    <row r="18" spans="1:7">
      <c r="A18" s="1">
        <v>11</v>
      </c>
      <c r="B18" s="2" t="s">
        <v>23</v>
      </c>
      <c r="C18" s="1">
        <v>0</v>
      </c>
      <c r="D18" s="1">
        <v>0</v>
      </c>
      <c r="E18" s="1">
        <v>0</v>
      </c>
      <c r="F18" s="1">
        <v>0</v>
      </c>
      <c r="G18" s="12"/>
    </row>
    <row r="19" spans="1:7">
      <c r="A19" s="3"/>
      <c r="B19" s="2" t="s">
        <v>24</v>
      </c>
      <c r="C19" s="1">
        <v>0</v>
      </c>
      <c r="D19" s="1">
        <v>0</v>
      </c>
      <c r="E19" s="1"/>
      <c r="F19" s="1">
        <v>281535</v>
      </c>
      <c r="G19" s="12"/>
    </row>
    <row r="20" spans="1:7">
      <c r="A20" s="3"/>
      <c r="B20" s="2" t="s">
        <v>25</v>
      </c>
      <c r="C20" s="1">
        <v>0</v>
      </c>
      <c r="D20" s="1">
        <v>0</v>
      </c>
      <c r="E20" s="1">
        <v>0</v>
      </c>
      <c r="F20" s="1">
        <v>0</v>
      </c>
      <c r="G20" s="12"/>
    </row>
    <row r="21" spans="1:7">
      <c r="A21" s="3"/>
      <c r="B21" s="4" t="s">
        <v>4</v>
      </c>
      <c r="C21" s="5">
        <f>SUM(C7:C20)</f>
        <v>111</v>
      </c>
      <c r="D21" s="5">
        <f>SUM(D7:D20)</f>
        <v>12229670</v>
      </c>
      <c r="E21" s="5">
        <f>SUM(E7:E20)</f>
        <v>70</v>
      </c>
      <c r="F21" s="5">
        <f>SUM(F7:F20)</f>
        <v>7319928</v>
      </c>
      <c r="G21" s="12"/>
    </row>
    <row r="22" spans="1:7" ht="15.5" hidden="1">
      <c r="A22" t="s">
        <v>29</v>
      </c>
      <c r="F22" s="7" t="s">
        <v>32</v>
      </c>
    </row>
    <row r="23" spans="1:7" hidden="1">
      <c r="A23" t="s">
        <v>30</v>
      </c>
      <c r="F23" t="s">
        <v>33</v>
      </c>
    </row>
    <row r="24" spans="1:7" hidden="1">
      <c r="A24" t="s">
        <v>31</v>
      </c>
    </row>
    <row r="25" spans="1:7" hidden="1"/>
    <row r="26" spans="1:7" hidden="1"/>
    <row r="27" spans="1:7" hidden="1">
      <c r="F27" t="s">
        <v>26</v>
      </c>
    </row>
    <row r="28" spans="1:7" hidden="1">
      <c r="F28" s="6" t="s">
        <v>27</v>
      </c>
      <c r="G28" s="6"/>
    </row>
    <row r="29" spans="1:7" hidden="1">
      <c r="F29" s="6" t="s">
        <v>28</v>
      </c>
      <c r="G29" s="6"/>
    </row>
    <row r="30" spans="1:7" hidden="1"/>
  </sheetData>
  <mergeCells count="9">
    <mergeCell ref="A5:A6"/>
    <mergeCell ref="B5:B6"/>
    <mergeCell ref="C5:D5"/>
    <mergeCell ref="E5:F5"/>
    <mergeCell ref="A1:G1"/>
    <mergeCell ref="A2:G2"/>
    <mergeCell ref="A3:G3"/>
    <mergeCell ref="B4:C4"/>
    <mergeCell ref="D4:G4"/>
  </mergeCells>
  <pageMargins left="0.7" right="0.7" top="0.75" bottom="0.75" header="0.3" footer="0.3"/>
  <pageSetup scale="7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0"/>
  <sheetViews>
    <sheetView workbookViewId="0">
      <selection activeCell="E8" sqref="E8"/>
    </sheetView>
  </sheetViews>
  <sheetFormatPr defaultRowHeight="14.5"/>
  <cols>
    <col min="2" max="2" width="29.81640625" bestFit="1" customWidth="1"/>
    <col min="3" max="6" width="16" customWidth="1"/>
    <col min="7" max="7" width="26.7265625" customWidth="1"/>
  </cols>
  <sheetData>
    <row r="1" spans="1:7">
      <c r="A1" s="15" t="s">
        <v>0</v>
      </c>
      <c r="B1" s="15"/>
      <c r="C1" s="15"/>
      <c r="D1" s="15"/>
      <c r="E1" s="15"/>
      <c r="F1" s="15"/>
      <c r="G1" s="15"/>
    </row>
    <row r="2" spans="1:7">
      <c r="A2" s="21" t="s">
        <v>41</v>
      </c>
      <c r="B2" s="21"/>
      <c r="C2" s="21"/>
      <c r="D2" s="21"/>
      <c r="E2" s="21"/>
      <c r="F2" s="21"/>
      <c r="G2" s="21"/>
    </row>
    <row r="3" spans="1:7">
      <c r="A3" s="24"/>
      <c r="B3" s="25"/>
      <c r="C3" s="25"/>
      <c r="D3" s="25"/>
      <c r="E3" s="25"/>
      <c r="F3" s="25"/>
      <c r="G3" s="26"/>
    </row>
    <row r="4" spans="1:7">
      <c r="A4" s="14" t="s">
        <v>2</v>
      </c>
      <c r="B4" s="22" t="s">
        <v>3</v>
      </c>
      <c r="C4" s="23"/>
      <c r="D4" s="21" t="s">
        <v>42</v>
      </c>
      <c r="E4" s="21"/>
      <c r="F4" s="21"/>
      <c r="G4" s="21"/>
    </row>
    <row r="5" spans="1:7">
      <c r="A5" s="27" t="s">
        <v>5</v>
      </c>
      <c r="B5" s="27" t="s">
        <v>6</v>
      </c>
      <c r="C5" s="21" t="s">
        <v>7</v>
      </c>
      <c r="D5" s="21"/>
      <c r="E5" s="22" t="s">
        <v>8</v>
      </c>
      <c r="F5" s="23"/>
      <c r="G5" s="14" t="s">
        <v>9</v>
      </c>
    </row>
    <row r="6" spans="1:7">
      <c r="A6" s="28"/>
      <c r="B6" s="28"/>
      <c r="C6" s="14" t="s">
        <v>10</v>
      </c>
      <c r="D6" s="14" t="s">
        <v>11</v>
      </c>
      <c r="E6" s="14" t="s">
        <v>10</v>
      </c>
      <c r="F6" s="14" t="s">
        <v>11</v>
      </c>
      <c r="G6" s="14"/>
    </row>
    <row r="7" spans="1:7">
      <c r="A7" s="1">
        <v>1</v>
      </c>
      <c r="B7" s="8" t="s">
        <v>12</v>
      </c>
      <c r="C7" s="11">
        <v>25</v>
      </c>
      <c r="D7" s="11">
        <f>C7*400000</f>
        <v>10000000</v>
      </c>
      <c r="E7" s="1">
        <v>19</v>
      </c>
      <c r="F7" s="1">
        <f>4843835+400000+50000+256930+225075+294663</f>
        <v>6070503</v>
      </c>
      <c r="G7" s="13"/>
    </row>
    <row r="8" spans="1:7">
      <c r="A8" s="1">
        <v>2</v>
      </c>
      <c r="B8" s="2" t="s">
        <v>13</v>
      </c>
      <c r="C8" s="1">
        <v>6</v>
      </c>
      <c r="D8" s="1">
        <v>600000</v>
      </c>
      <c r="E8" s="1">
        <v>3</v>
      </c>
      <c r="F8" s="1">
        <v>272040</v>
      </c>
      <c r="G8" s="12"/>
    </row>
    <row r="9" spans="1:7">
      <c r="A9" s="1">
        <v>3</v>
      </c>
      <c r="B9" s="2" t="s">
        <v>14</v>
      </c>
      <c r="C9" s="1">
        <v>2</v>
      </c>
      <c r="D9" s="1">
        <v>145632</v>
      </c>
      <c r="E9" s="1">
        <v>2</v>
      </c>
      <c r="F9" s="1">
        <v>145630</v>
      </c>
      <c r="G9" s="12"/>
    </row>
    <row r="10" spans="1:7">
      <c r="A10" s="1">
        <v>4</v>
      </c>
      <c r="B10" s="2" t="s">
        <v>15</v>
      </c>
      <c r="C10" s="1">
        <v>0</v>
      </c>
      <c r="D10" s="1">
        <v>0</v>
      </c>
      <c r="E10" s="1">
        <v>0</v>
      </c>
      <c r="F10" s="1">
        <v>0</v>
      </c>
      <c r="G10" s="12"/>
    </row>
    <row r="11" spans="1:7">
      <c r="A11" s="1">
        <v>5</v>
      </c>
      <c r="B11" s="2" t="s">
        <v>16</v>
      </c>
      <c r="C11" s="1">
        <v>15</v>
      </c>
      <c r="D11" s="1">
        <v>300000</v>
      </c>
      <c r="E11" s="1">
        <v>0</v>
      </c>
      <c r="F11" s="1">
        <v>0</v>
      </c>
      <c r="G11" s="12"/>
    </row>
    <row r="12" spans="1:7">
      <c r="A12" s="1">
        <v>6</v>
      </c>
      <c r="B12" s="2" t="s">
        <v>17</v>
      </c>
      <c r="C12" s="1">
        <v>36</v>
      </c>
      <c r="D12" s="1">
        <v>164000</v>
      </c>
      <c r="E12" s="1">
        <v>35</v>
      </c>
      <c r="F12" s="1">
        <v>163126</v>
      </c>
      <c r="G12" s="12"/>
    </row>
    <row r="13" spans="1:7">
      <c r="A13" s="1"/>
      <c r="B13" s="2" t="s">
        <v>18</v>
      </c>
      <c r="C13" s="1">
        <v>0</v>
      </c>
      <c r="D13" s="1">
        <v>0</v>
      </c>
      <c r="E13" s="1">
        <v>0</v>
      </c>
      <c r="F13" s="1">
        <v>0</v>
      </c>
      <c r="G13" s="12"/>
    </row>
    <row r="14" spans="1:7">
      <c r="A14" s="1">
        <v>7</v>
      </c>
      <c r="B14" s="2" t="s">
        <v>19</v>
      </c>
      <c r="C14" s="1">
        <v>23</v>
      </c>
      <c r="D14" s="1">
        <v>857864</v>
      </c>
      <c r="E14" s="1">
        <v>11</v>
      </c>
      <c r="F14" s="1">
        <f>203643+35158+35381+38151+38151+36610</f>
        <v>387094</v>
      </c>
      <c r="G14" s="12"/>
    </row>
    <row r="15" spans="1:7">
      <c r="A15" s="1">
        <v>8</v>
      </c>
      <c r="B15" s="2" t="s">
        <v>20</v>
      </c>
      <c r="C15" s="1">
        <v>3</v>
      </c>
      <c r="D15" s="1">
        <v>153950</v>
      </c>
      <c r="E15" s="1">
        <v>0</v>
      </c>
      <c r="F15" s="1">
        <v>0</v>
      </c>
      <c r="G15" s="12"/>
    </row>
    <row r="16" spans="1:7">
      <c r="A16" s="1">
        <v>9</v>
      </c>
      <c r="B16" s="2" t="s">
        <v>21</v>
      </c>
      <c r="C16" s="1">
        <v>1</v>
      </c>
      <c r="D16" s="1">
        <v>8224</v>
      </c>
      <c r="E16" s="1">
        <v>0</v>
      </c>
      <c r="F16" s="1">
        <v>0</v>
      </c>
      <c r="G16" s="12"/>
    </row>
    <row r="17" spans="1:7">
      <c r="A17" s="1">
        <v>10</v>
      </c>
      <c r="B17" s="2" t="s">
        <v>22</v>
      </c>
      <c r="C17" s="1">
        <v>0</v>
      </c>
      <c r="D17" s="1">
        <v>0</v>
      </c>
      <c r="E17" s="1">
        <v>0</v>
      </c>
      <c r="F17" s="1">
        <v>0</v>
      </c>
      <c r="G17" s="12"/>
    </row>
    <row r="18" spans="1:7">
      <c r="A18" s="1">
        <v>11</v>
      </c>
      <c r="B18" s="2" t="s">
        <v>23</v>
      </c>
      <c r="C18" s="1">
        <v>0</v>
      </c>
      <c r="D18" s="1">
        <v>0</v>
      </c>
      <c r="E18" s="1">
        <v>0</v>
      </c>
      <c r="F18" s="1">
        <v>0</v>
      </c>
      <c r="G18" s="12"/>
    </row>
    <row r="19" spans="1:7">
      <c r="A19" s="3"/>
      <c r="B19" s="2" t="s">
        <v>24</v>
      </c>
      <c r="C19" s="1">
        <v>0</v>
      </c>
      <c r="D19" s="1">
        <v>0</v>
      </c>
      <c r="E19" s="1"/>
      <c r="F19" s="1">
        <v>281535</v>
      </c>
      <c r="G19" s="12"/>
    </row>
    <row r="20" spans="1:7">
      <c r="A20" s="3"/>
      <c r="B20" s="2" t="s">
        <v>25</v>
      </c>
      <c r="C20" s="1">
        <v>0</v>
      </c>
      <c r="D20" s="1">
        <v>0</v>
      </c>
      <c r="E20" s="1">
        <v>0</v>
      </c>
      <c r="F20" s="1">
        <v>0</v>
      </c>
      <c r="G20" s="12"/>
    </row>
    <row r="21" spans="1:7">
      <c r="A21" s="3"/>
      <c r="B21" s="4" t="s">
        <v>4</v>
      </c>
      <c r="C21" s="5">
        <f>SUM(C7:C20)</f>
        <v>111</v>
      </c>
      <c r="D21" s="5">
        <f>SUM(D7:D20)</f>
        <v>12229670</v>
      </c>
      <c r="E21" s="5">
        <f>SUM(E7:E20)</f>
        <v>70</v>
      </c>
      <c r="F21" s="5">
        <f>SUM(F7:F20)</f>
        <v>7319928</v>
      </c>
      <c r="G21" s="12"/>
    </row>
    <row r="22" spans="1:7" ht="15.5" hidden="1">
      <c r="A22" t="s">
        <v>29</v>
      </c>
      <c r="F22" s="7" t="s">
        <v>32</v>
      </c>
    </row>
    <row r="23" spans="1:7" hidden="1">
      <c r="A23" t="s">
        <v>30</v>
      </c>
      <c r="F23" t="s">
        <v>33</v>
      </c>
    </row>
    <row r="24" spans="1:7" hidden="1">
      <c r="A24" t="s">
        <v>31</v>
      </c>
    </row>
    <row r="25" spans="1:7" hidden="1"/>
    <row r="26" spans="1:7" hidden="1"/>
    <row r="27" spans="1:7" hidden="1">
      <c r="F27" t="s">
        <v>26</v>
      </c>
    </row>
    <row r="28" spans="1:7" hidden="1">
      <c r="F28" s="6" t="s">
        <v>27</v>
      </c>
      <c r="G28" s="6"/>
    </row>
    <row r="29" spans="1:7" hidden="1">
      <c r="F29" s="6" t="s">
        <v>28</v>
      </c>
      <c r="G29" s="6"/>
    </row>
    <row r="30" spans="1:7" hidden="1"/>
  </sheetData>
  <mergeCells count="9">
    <mergeCell ref="A5:A6"/>
    <mergeCell ref="B5:B6"/>
    <mergeCell ref="C5:D5"/>
    <mergeCell ref="E5:F5"/>
    <mergeCell ref="A1:G1"/>
    <mergeCell ref="A2:G2"/>
    <mergeCell ref="A3:G3"/>
    <mergeCell ref="B4:C4"/>
    <mergeCell ref="D4:G4"/>
  </mergeCells>
  <pageMargins left="0.7" right="0.7" top="0.75" bottom="0.75" header="0.3" footer="0.3"/>
  <pageSetup scale="7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0"/>
  <sheetViews>
    <sheetView workbookViewId="0">
      <selection sqref="A1:XFD1048576"/>
    </sheetView>
  </sheetViews>
  <sheetFormatPr defaultRowHeight="14.5"/>
  <cols>
    <col min="2" max="2" width="29.81640625" bestFit="1" customWidth="1"/>
    <col min="3" max="6" width="16" customWidth="1"/>
    <col min="7" max="7" width="26.7265625" customWidth="1"/>
  </cols>
  <sheetData>
    <row r="1" spans="1:7">
      <c r="A1" s="15" t="s">
        <v>0</v>
      </c>
      <c r="B1" s="15"/>
      <c r="C1" s="15"/>
      <c r="D1" s="15"/>
      <c r="E1" s="15"/>
      <c r="F1" s="15"/>
      <c r="G1" s="15"/>
    </row>
    <row r="2" spans="1:7">
      <c r="A2" s="21" t="s">
        <v>41</v>
      </c>
      <c r="B2" s="21"/>
      <c r="C2" s="21"/>
      <c r="D2" s="21"/>
      <c r="E2" s="21"/>
      <c r="F2" s="21"/>
      <c r="G2" s="21"/>
    </row>
    <row r="3" spans="1:7">
      <c r="A3" s="24"/>
      <c r="B3" s="25"/>
      <c r="C3" s="25"/>
      <c r="D3" s="25"/>
      <c r="E3" s="25"/>
      <c r="F3" s="25"/>
      <c r="G3" s="26"/>
    </row>
    <row r="4" spans="1:7">
      <c r="A4" s="14" t="s">
        <v>2</v>
      </c>
      <c r="B4" s="22" t="s">
        <v>3</v>
      </c>
      <c r="C4" s="23"/>
      <c r="D4" s="21" t="s">
        <v>43</v>
      </c>
      <c r="E4" s="21"/>
      <c r="F4" s="21"/>
      <c r="G4" s="21"/>
    </row>
    <row r="5" spans="1:7">
      <c r="A5" s="27" t="s">
        <v>5</v>
      </c>
      <c r="B5" s="27" t="s">
        <v>6</v>
      </c>
      <c r="C5" s="21" t="s">
        <v>7</v>
      </c>
      <c r="D5" s="21"/>
      <c r="E5" s="22" t="s">
        <v>8</v>
      </c>
      <c r="F5" s="23"/>
      <c r="G5" s="14" t="s">
        <v>9</v>
      </c>
    </row>
    <row r="6" spans="1:7">
      <c r="A6" s="28"/>
      <c r="B6" s="28"/>
      <c r="C6" s="14" t="s">
        <v>10</v>
      </c>
      <c r="D6" s="14" t="s">
        <v>11</v>
      </c>
      <c r="E6" s="14" t="s">
        <v>10</v>
      </c>
      <c r="F6" s="14" t="s">
        <v>11</v>
      </c>
      <c r="G6" s="14"/>
    </row>
    <row r="7" spans="1:7">
      <c r="A7" s="1">
        <v>1</v>
      </c>
      <c r="B7" s="8" t="s">
        <v>12</v>
      </c>
      <c r="C7" s="11">
        <v>25</v>
      </c>
      <c r="D7" s="11">
        <f>C7*400000</f>
        <v>10000000</v>
      </c>
      <c r="E7" s="1">
        <v>19</v>
      </c>
      <c r="F7" s="1">
        <f>4843835+400000+50000+256930+225075+294663</f>
        <v>6070503</v>
      </c>
      <c r="G7" s="13"/>
    </row>
    <row r="8" spans="1:7">
      <c r="A8" s="1">
        <v>2</v>
      </c>
      <c r="B8" s="2" t="s">
        <v>13</v>
      </c>
      <c r="C8" s="1">
        <v>6</v>
      </c>
      <c r="D8" s="1">
        <v>600000</v>
      </c>
      <c r="E8" s="1">
        <v>3</v>
      </c>
      <c r="F8" s="1">
        <v>272040</v>
      </c>
      <c r="G8" s="12"/>
    </row>
    <row r="9" spans="1:7">
      <c r="A9" s="1">
        <v>3</v>
      </c>
      <c r="B9" s="2" t="s">
        <v>14</v>
      </c>
      <c r="C9" s="1">
        <v>2</v>
      </c>
      <c r="D9" s="1">
        <v>145632</v>
      </c>
      <c r="E9" s="1">
        <v>2</v>
      </c>
      <c r="F9" s="1">
        <v>145630</v>
      </c>
      <c r="G9" s="12"/>
    </row>
    <row r="10" spans="1:7">
      <c r="A10" s="1">
        <v>4</v>
      </c>
      <c r="B10" s="2" t="s">
        <v>15</v>
      </c>
      <c r="C10" s="1">
        <v>0</v>
      </c>
      <c r="D10" s="1">
        <v>0</v>
      </c>
      <c r="E10" s="1">
        <v>0</v>
      </c>
      <c r="F10" s="1">
        <v>0</v>
      </c>
      <c r="G10" s="12"/>
    </row>
    <row r="11" spans="1:7">
      <c r="A11" s="1">
        <v>5</v>
      </c>
      <c r="B11" s="2" t="s">
        <v>16</v>
      </c>
      <c r="C11" s="1">
        <v>15</v>
      </c>
      <c r="D11" s="1">
        <v>300000</v>
      </c>
      <c r="E11" s="1">
        <v>0</v>
      </c>
      <c r="F11" s="1">
        <v>0</v>
      </c>
      <c r="G11" s="12"/>
    </row>
    <row r="12" spans="1:7">
      <c r="A12" s="1">
        <v>6</v>
      </c>
      <c r="B12" s="2" t="s">
        <v>17</v>
      </c>
      <c r="C12" s="1">
        <v>36</v>
      </c>
      <c r="D12" s="1">
        <v>164000</v>
      </c>
      <c r="E12" s="1">
        <v>35</v>
      </c>
      <c r="F12" s="1">
        <v>163126</v>
      </c>
      <c r="G12" s="12"/>
    </row>
    <row r="13" spans="1:7">
      <c r="A13" s="1"/>
      <c r="B13" s="2" t="s">
        <v>18</v>
      </c>
      <c r="C13" s="1">
        <v>0</v>
      </c>
      <c r="D13" s="1">
        <v>0</v>
      </c>
      <c r="E13" s="1">
        <v>0</v>
      </c>
      <c r="F13" s="1">
        <v>0</v>
      </c>
      <c r="G13" s="12"/>
    </row>
    <row r="14" spans="1:7">
      <c r="A14" s="1">
        <v>7</v>
      </c>
      <c r="B14" s="2" t="s">
        <v>19</v>
      </c>
      <c r="C14" s="1">
        <v>23</v>
      </c>
      <c r="D14" s="1">
        <v>857864</v>
      </c>
      <c r="E14" s="1">
        <v>11</v>
      </c>
      <c r="F14" s="1">
        <f>203643+35158+35381+38151+38151+36610</f>
        <v>387094</v>
      </c>
      <c r="G14" s="12"/>
    </row>
    <row r="15" spans="1:7">
      <c r="A15" s="1">
        <v>8</v>
      </c>
      <c r="B15" s="2" t="s">
        <v>20</v>
      </c>
      <c r="C15" s="1">
        <v>3</v>
      </c>
      <c r="D15" s="1">
        <v>153950</v>
      </c>
      <c r="E15" s="1">
        <v>0</v>
      </c>
      <c r="F15" s="1">
        <v>0</v>
      </c>
      <c r="G15" s="12"/>
    </row>
    <row r="16" spans="1:7">
      <c r="A16" s="1">
        <v>9</v>
      </c>
      <c r="B16" s="2" t="s">
        <v>21</v>
      </c>
      <c r="C16" s="1">
        <v>1</v>
      </c>
      <c r="D16" s="1">
        <v>8224</v>
      </c>
      <c r="E16" s="1">
        <v>0</v>
      </c>
      <c r="F16" s="1">
        <v>0</v>
      </c>
      <c r="G16" s="12"/>
    </row>
    <row r="17" spans="1:7">
      <c r="A17" s="1">
        <v>10</v>
      </c>
      <c r="B17" s="2" t="s">
        <v>22</v>
      </c>
      <c r="C17" s="1">
        <v>0</v>
      </c>
      <c r="D17" s="1">
        <v>0</v>
      </c>
      <c r="E17" s="1">
        <v>0</v>
      </c>
      <c r="F17" s="1">
        <v>0</v>
      </c>
      <c r="G17" s="12"/>
    </row>
    <row r="18" spans="1:7">
      <c r="A18" s="1">
        <v>11</v>
      </c>
      <c r="B18" s="2" t="s">
        <v>23</v>
      </c>
      <c r="C18" s="1">
        <v>0</v>
      </c>
      <c r="D18" s="1">
        <v>0</v>
      </c>
      <c r="E18" s="1">
        <v>0</v>
      </c>
      <c r="F18" s="1">
        <v>0</v>
      </c>
      <c r="G18" s="12"/>
    </row>
    <row r="19" spans="1:7">
      <c r="A19" s="3"/>
      <c r="B19" s="2" t="s">
        <v>24</v>
      </c>
      <c r="C19" s="1">
        <v>0</v>
      </c>
      <c r="D19" s="1">
        <v>0</v>
      </c>
      <c r="E19" s="1"/>
      <c r="F19" s="1">
        <v>281535</v>
      </c>
      <c r="G19" s="12"/>
    </row>
    <row r="20" spans="1:7">
      <c r="A20" s="3"/>
      <c r="B20" s="2" t="s">
        <v>25</v>
      </c>
      <c r="C20" s="1">
        <v>0</v>
      </c>
      <c r="D20" s="1">
        <v>0</v>
      </c>
      <c r="E20" s="1">
        <v>0</v>
      </c>
      <c r="F20" s="1">
        <v>0</v>
      </c>
      <c r="G20" s="12"/>
    </row>
    <row r="21" spans="1:7">
      <c r="A21" s="3"/>
      <c r="B21" s="4" t="s">
        <v>4</v>
      </c>
      <c r="C21" s="5">
        <f>SUM(C7:C20)</f>
        <v>111</v>
      </c>
      <c r="D21" s="5">
        <f>SUM(D7:D20)</f>
        <v>12229670</v>
      </c>
      <c r="E21" s="5">
        <f>SUM(E7:E20)</f>
        <v>70</v>
      </c>
      <c r="F21" s="5">
        <f>SUM(F7:F20)</f>
        <v>7319928</v>
      </c>
      <c r="G21" s="12"/>
    </row>
    <row r="22" spans="1:7" ht="15.5" hidden="1">
      <c r="A22" t="s">
        <v>29</v>
      </c>
      <c r="F22" s="7" t="s">
        <v>32</v>
      </c>
    </row>
    <row r="23" spans="1:7" hidden="1">
      <c r="A23" t="s">
        <v>30</v>
      </c>
      <c r="F23" t="s">
        <v>33</v>
      </c>
    </row>
    <row r="24" spans="1:7" hidden="1">
      <c r="A24" t="s">
        <v>31</v>
      </c>
    </row>
    <row r="25" spans="1:7" hidden="1"/>
    <row r="26" spans="1:7" hidden="1"/>
    <row r="27" spans="1:7" hidden="1">
      <c r="F27" t="s">
        <v>26</v>
      </c>
    </row>
    <row r="28" spans="1:7" hidden="1">
      <c r="F28" s="6" t="s">
        <v>27</v>
      </c>
      <c r="G28" s="6"/>
    </row>
    <row r="29" spans="1:7" hidden="1">
      <c r="F29" s="6" t="s">
        <v>28</v>
      </c>
      <c r="G29" s="6"/>
    </row>
    <row r="30" spans="1:7" hidden="1"/>
  </sheetData>
  <mergeCells count="9">
    <mergeCell ref="A5:A6"/>
    <mergeCell ref="B5:B6"/>
    <mergeCell ref="C5:D5"/>
    <mergeCell ref="E5:F5"/>
    <mergeCell ref="A1:G1"/>
    <mergeCell ref="A2:G2"/>
    <mergeCell ref="A3:G3"/>
    <mergeCell ref="B4:C4"/>
    <mergeCell ref="D4:G4"/>
  </mergeCells>
  <pageMargins left="0.7" right="0.7" top="0.75" bottom="0.75" header="0.3" footer="0.3"/>
  <pageSetup scale="7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0"/>
  <sheetViews>
    <sheetView workbookViewId="0">
      <selection sqref="A1:XFD1048576"/>
    </sheetView>
  </sheetViews>
  <sheetFormatPr defaultRowHeight="14.5"/>
  <cols>
    <col min="2" max="2" width="29.81640625" bestFit="1" customWidth="1"/>
    <col min="3" max="6" width="16" customWidth="1"/>
    <col min="7" max="7" width="26.7265625" customWidth="1"/>
  </cols>
  <sheetData>
    <row r="1" spans="1:7">
      <c r="A1" s="15" t="s">
        <v>0</v>
      </c>
      <c r="B1" s="15"/>
      <c r="C1" s="15"/>
      <c r="D1" s="15"/>
      <c r="E1" s="15"/>
      <c r="F1" s="15"/>
      <c r="G1" s="15"/>
    </row>
    <row r="2" spans="1:7">
      <c r="A2" s="21" t="s">
        <v>41</v>
      </c>
      <c r="B2" s="21"/>
      <c r="C2" s="21"/>
      <c r="D2" s="21"/>
      <c r="E2" s="21"/>
      <c r="F2" s="21"/>
      <c r="G2" s="21"/>
    </row>
    <row r="3" spans="1:7">
      <c r="A3" s="24"/>
      <c r="B3" s="25"/>
      <c r="C3" s="25"/>
      <c r="D3" s="25"/>
      <c r="E3" s="25"/>
      <c r="F3" s="25"/>
      <c r="G3" s="26"/>
    </row>
    <row r="4" spans="1:7">
      <c r="A4" s="14" t="s">
        <v>2</v>
      </c>
      <c r="B4" s="22" t="s">
        <v>3</v>
      </c>
      <c r="C4" s="23"/>
      <c r="D4" s="21" t="s">
        <v>44</v>
      </c>
      <c r="E4" s="21"/>
      <c r="F4" s="21"/>
      <c r="G4" s="21"/>
    </row>
    <row r="5" spans="1:7">
      <c r="A5" s="27" t="s">
        <v>5</v>
      </c>
      <c r="B5" s="27" t="s">
        <v>6</v>
      </c>
      <c r="C5" s="21" t="s">
        <v>7</v>
      </c>
      <c r="D5" s="21"/>
      <c r="E5" s="22" t="s">
        <v>8</v>
      </c>
      <c r="F5" s="23"/>
      <c r="G5" s="14" t="s">
        <v>9</v>
      </c>
    </row>
    <row r="6" spans="1:7">
      <c r="A6" s="28"/>
      <c r="B6" s="28"/>
      <c r="C6" s="14" t="s">
        <v>10</v>
      </c>
      <c r="D6" s="14" t="s">
        <v>11</v>
      </c>
      <c r="E6" s="14" t="s">
        <v>10</v>
      </c>
      <c r="F6" s="14" t="s">
        <v>11</v>
      </c>
      <c r="G6" s="14"/>
    </row>
    <row r="7" spans="1:7">
      <c r="A7" s="1">
        <v>1</v>
      </c>
      <c r="B7" s="8" t="s">
        <v>12</v>
      </c>
      <c r="C7" s="11">
        <v>25</v>
      </c>
      <c r="D7" s="11">
        <f>C7*400000</f>
        <v>10000000</v>
      </c>
      <c r="E7" s="1">
        <v>19</v>
      </c>
      <c r="F7" s="1">
        <v>6354768</v>
      </c>
      <c r="G7" s="13"/>
    </row>
    <row r="8" spans="1:7">
      <c r="A8" s="1">
        <v>2</v>
      </c>
      <c r="B8" s="2" t="s">
        <v>13</v>
      </c>
      <c r="C8" s="1">
        <v>6</v>
      </c>
      <c r="D8" s="1">
        <v>600000</v>
      </c>
      <c r="E8" s="1">
        <v>4</v>
      </c>
      <c r="F8" s="1">
        <v>372040</v>
      </c>
      <c r="G8" s="12"/>
    </row>
    <row r="9" spans="1:7">
      <c r="A9" s="1">
        <v>3</v>
      </c>
      <c r="B9" s="2" t="s">
        <v>14</v>
      </c>
      <c r="C9" s="1">
        <v>2</v>
      </c>
      <c r="D9" s="1">
        <v>145632</v>
      </c>
      <c r="E9" s="1">
        <v>2</v>
      </c>
      <c r="F9" s="1">
        <v>145630</v>
      </c>
      <c r="G9" s="12"/>
    </row>
    <row r="10" spans="1:7">
      <c r="A10" s="1">
        <v>4</v>
      </c>
      <c r="B10" s="2" t="s">
        <v>15</v>
      </c>
      <c r="C10" s="1">
        <v>0</v>
      </c>
      <c r="D10" s="1">
        <v>0</v>
      </c>
      <c r="E10" s="1">
        <v>0</v>
      </c>
      <c r="F10" s="1">
        <v>0</v>
      </c>
      <c r="G10" s="12"/>
    </row>
    <row r="11" spans="1:7">
      <c r="A11" s="1">
        <v>5</v>
      </c>
      <c r="B11" s="2" t="s">
        <v>16</v>
      </c>
      <c r="C11" s="1">
        <v>15</v>
      </c>
      <c r="D11" s="1">
        <v>300000</v>
      </c>
      <c r="E11" s="1">
        <v>0</v>
      </c>
      <c r="F11" s="1">
        <v>0</v>
      </c>
      <c r="G11" s="12"/>
    </row>
    <row r="12" spans="1:7">
      <c r="A12" s="1">
        <v>6</v>
      </c>
      <c r="B12" s="2" t="s">
        <v>17</v>
      </c>
      <c r="C12" s="1">
        <v>36</v>
      </c>
      <c r="D12" s="1">
        <v>164000</v>
      </c>
      <c r="E12" s="1">
        <v>35</v>
      </c>
      <c r="F12" s="1">
        <v>163126</v>
      </c>
      <c r="G12" s="12"/>
    </row>
    <row r="13" spans="1:7">
      <c r="A13" s="1"/>
      <c r="B13" s="2" t="s">
        <v>18</v>
      </c>
      <c r="C13" s="1">
        <v>0</v>
      </c>
      <c r="D13" s="1">
        <v>0</v>
      </c>
      <c r="E13" s="1">
        <v>0</v>
      </c>
      <c r="F13" s="1">
        <v>0</v>
      </c>
      <c r="G13" s="12"/>
    </row>
    <row r="14" spans="1:7">
      <c r="A14" s="1">
        <v>7</v>
      </c>
      <c r="B14" s="2" t="s">
        <v>19</v>
      </c>
      <c r="C14" s="1">
        <v>23</v>
      </c>
      <c r="D14" s="1">
        <v>857864</v>
      </c>
      <c r="E14" s="1">
        <v>11</v>
      </c>
      <c r="F14" s="1">
        <f>203643+35158+35381+38151+38151+36610</f>
        <v>387094</v>
      </c>
      <c r="G14" s="12"/>
    </row>
    <row r="15" spans="1:7">
      <c r="A15" s="1">
        <v>8</v>
      </c>
      <c r="B15" s="2" t="s">
        <v>20</v>
      </c>
      <c r="C15" s="1">
        <v>3</v>
      </c>
      <c r="D15" s="1">
        <v>153950</v>
      </c>
      <c r="E15" s="1">
        <v>0</v>
      </c>
      <c r="F15" s="1">
        <v>0</v>
      </c>
      <c r="G15" s="12"/>
    </row>
    <row r="16" spans="1:7">
      <c r="A16" s="1">
        <v>9</v>
      </c>
      <c r="B16" s="2" t="s">
        <v>21</v>
      </c>
      <c r="C16" s="1">
        <v>1</v>
      </c>
      <c r="D16" s="1">
        <v>8224</v>
      </c>
      <c r="E16" s="1">
        <v>0</v>
      </c>
      <c r="F16" s="1">
        <v>0</v>
      </c>
      <c r="G16" s="12"/>
    </row>
    <row r="17" spans="1:7">
      <c r="A17" s="1">
        <v>10</v>
      </c>
      <c r="B17" s="2" t="s">
        <v>22</v>
      </c>
      <c r="C17" s="1">
        <v>0</v>
      </c>
      <c r="D17" s="1">
        <v>0</v>
      </c>
      <c r="E17" s="1">
        <v>0</v>
      </c>
      <c r="F17" s="1">
        <v>0</v>
      </c>
      <c r="G17" s="12"/>
    </row>
    <row r="18" spans="1:7">
      <c r="A18" s="1">
        <v>11</v>
      </c>
      <c r="B18" s="2" t="s">
        <v>23</v>
      </c>
      <c r="C18" s="1">
        <v>0</v>
      </c>
      <c r="D18" s="1">
        <v>0</v>
      </c>
      <c r="E18" s="1">
        <v>0</v>
      </c>
      <c r="F18" s="1">
        <v>0</v>
      </c>
      <c r="G18" s="12"/>
    </row>
    <row r="19" spans="1:7">
      <c r="A19" s="3"/>
      <c r="B19" s="2" t="s">
        <v>24</v>
      </c>
      <c r="C19" s="1">
        <v>0</v>
      </c>
      <c r="D19" s="1">
        <v>0</v>
      </c>
      <c r="E19" s="1"/>
      <c r="F19" s="1">
        <v>296907</v>
      </c>
      <c r="G19" s="12"/>
    </row>
    <row r="20" spans="1:7">
      <c r="A20" s="3"/>
      <c r="B20" s="2" t="s">
        <v>25</v>
      </c>
      <c r="C20" s="1">
        <v>0</v>
      </c>
      <c r="D20" s="1">
        <v>0</v>
      </c>
      <c r="E20" s="1">
        <v>0</v>
      </c>
      <c r="F20" s="1">
        <v>0</v>
      </c>
      <c r="G20" s="12"/>
    </row>
    <row r="21" spans="1:7">
      <c r="A21" s="3"/>
      <c r="B21" s="4" t="s">
        <v>4</v>
      </c>
      <c r="C21" s="5">
        <f>SUM(C7:C20)</f>
        <v>111</v>
      </c>
      <c r="D21" s="5">
        <f>SUM(D7:D20)</f>
        <v>12229670</v>
      </c>
      <c r="E21" s="5">
        <f>SUM(E7:E20)</f>
        <v>71</v>
      </c>
      <c r="F21" s="5">
        <f>SUM(F7:F20)</f>
        <v>7719565</v>
      </c>
      <c r="G21" s="12"/>
    </row>
    <row r="22" spans="1:7" ht="15.5" hidden="1">
      <c r="A22" t="s">
        <v>29</v>
      </c>
      <c r="F22" s="7" t="s">
        <v>32</v>
      </c>
    </row>
    <row r="23" spans="1:7" hidden="1">
      <c r="A23" t="s">
        <v>30</v>
      </c>
      <c r="F23" t="s">
        <v>33</v>
      </c>
    </row>
    <row r="24" spans="1:7" hidden="1">
      <c r="A24" t="s">
        <v>31</v>
      </c>
    </row>
    <row r="25" spans="1:7" hidden="1"/>
    <row r="26" spans="1:7" hidden="1"/>
    <row r="27" spans="1:7" hidden="1">
      <c r="F27" t="s">
        <v>26</v>
      </c>
    </row>
    <row r="28" spans="1:7" hidden="1">
      <c r="F28" s="6" t="s">
        <v>27</v>
      </c>
      <c r="G28" s="6"/>
    </row>
    <row r="29" spans="1:7" hidden="1">
      <c r="F29" s="6" t="s">
        <v>28</v>
      </c>
      <c r="G29" s="6"/>
    </row>
    <row r="30" spans="1:7" hidden="1"/>
  </sheetData>
  <mergeCells count="9">
    <mergeCell ref="A5:A6"/>
    <mergeCell ref="B5:B6"/>
    <mergeCell ref="C5:D5"/>
    <mergeCell ref="E5:F5"/>
    <mergeCell ref="A1:G1"/>
    <mergeCell ref="A2:G2"/>
    <mergeCell ref="A3:G3"/>
    <mergeCell ref="B4:C4"/>
    <mergeCell ref="D4:G4"/>
  </mergeCells>
  <pageMargins left="0.7" right="0.7" top="0.75" bottom="0.75" header="0.3" footer="0.3"/>
  <pageSetup scale="7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0"/>
  <sheetViews>
    <sheetView tabSelected="1" workbookViewId="0">
      <selection activeCell="F8" sqref="F8"/>
    </sheetView>
  </sheetViews>
  <sheetFormatPr defaultRowHeight="14.5"/>
  <cols>
    <col min="2" max="2" width="29.81640625" bestFit="1" customWidth="1"/>
    <col min="3" max="6" width="16" customWidth="1"/>
    <col min="7" max="7" width="26.7265625" customWidth="1"/>
  </cols>
  <sheetData>
    <row r="1" spans="1:7">
      <c r="A1" s="15" t="s">
        <v>0</v>
      </c>
      <c r="B1" s="15"/>
      <c r="C1" s="15"/>
      <c r="D1" s="15"/>
      <c r="E1" s="15"/>
      <c r="F1" s="15"/>
      <c r="G1" s="15"/>
    </row>
    <row r="2" spans="1:7">
      <c r="A2" s="21" t="s">
        <v>41</v>
      </c>
      <c r="B2" s="21"/>
      <c r="C2" s="21"/>
      <c r="D2" s="21"/>
      <c r="E2" s="21"/>
      <c r="F2" s="21"/>
      <c r="G2" s="21"/>
    </row>
    <row r="3" spans="1:7">
      <c r="A3" s="24"/>
      <c r="B3" s="25"/>
      <c r="C3" s="25"/>
      <c r="D3" s="25"/>
      <c r="E3" s="25"/>
      <c r="F3" s="25"/>
      <c r="G3" s="26"/>
    </row>
    <row r="4" spans="1:7">
      <c r="A4" s="14" t="s">
        <v>2</v>
      </c>
      <c r="B4" s="22" t="s">
        <v>3</v>
      </c>
      <c r="C4" s="23"/>
      <c r="D4" s="21" t="s">
        <v>45</v>
      </c>
      <c r="E4" s="21"/>
      <c r="F4" s="21"/>
      <c r="G4" s="21"/>
    </row>
    <row r="5" spans="1:7">
      <c r="A5" s="27" t="s">
        <v>5</v>
      </c>
      <c r="B5" s="27" t="s">
        <v>6</v>
      </c>
      <c r="C5" s="21" t="s">
        <v>7</v>
      </c>
      <c r="D5" s="21"/>
      <c r="E5" s="22" t="s">
        <v>8</v>
      </c>
      <c r="F5" s="23"/>
      <c r="G5" s="14" t="s">
        <v>9</v>
      </c>
    </row>
    <row r="6" spans="1:7">
      <c r="A6" s="28"/>
      <c r="B6" s="28"/>
      <c r="C6" s="14" t="s">
        <v>10</v>
      </c>
      <c r="D6" s="14" t="s">
        <v>11</v>
      </c>
      <c r="E6" s="14" t="s">
        <v>10</v>
      </c>
      <c r="F6" s="14" t="s">
        <v>11</v>
      </c>
      <c r="G6" s="14"/>
    </row>
    <row r="7" spans="1:7">
      <c r="A7" s="1">
        <v>1</v>
      </c>
      <c r="B7" s="8" t="s">
        <v>12</v>
      </c>
      <c r="C7" s="11">
        <v>25</v>
      </c>
      <c r="D7" s="11">
        <f>C7*400000</f>
        <v>10000000</v>
      </c>
      <c r="E7" s="1">
        <v>19</v>
      </c>
      <c r="F7" s="1">
        <v>6919317</v>
      </c>
      <c r="G7" s="13"/>
    </row>
    <row r="8" spans="1:7">
      <c r="A8" s="1">
        <v>2</v>
      </c>
      <c r="B8" s="2" t="s">
        <v>13</v>
      </c>
      <c r="C8" s="1">
        <v>6</v>
      </c>
      <c r="D8" s="1">
        <v>600000</v>
      </c>
      <c r="E8" s="1">
        <v>4</v>
      </c>
      <c r="F8" s="1">
        <v>400000</v>
      </c>
      <c r="G8" s="12"/>
    </row>
    <row r="9" spans="1:7">
      <c r="A9" s="1">
        <v>3</v>
      </c>
      <c r="B9" s="2" t="s">
        <v>14</v>
      </c>
      <c r="C9" s="1">
        <v>2</v>
      </c>
      <c r="D9" s="1">
        <v>145632</v>
      </c>
      <c r="E9" s="1">
        <v>2</v>
      </c>
      <c r="F9" s="1">
        <v>145630</v>
      </c>
      <c r="G9" s="12"/>
    </row>
    <row r="10" spans="1:7">
      <c r="A10" s="1">
        <v>4</v>
      </c>
      <c r="B10" s="2" t="s">
        <v>15</v>
      </c>
      <c r="C10" s="1">
        <v>0</v>
      </c>
      <c r="D10" s="1">
        <v>0</v>
      </c>
      <c r="E10" s="1">
        <v>0</v>
      </c>
      <c r="F10" s="1">
        <v>0</v>
      </c>
      <c r="G10" s="12"/>
    </row>
    <row r="11" spans="1:7">
      <c r="A11" s="1">
        <v>5</v>
      </c>
      <c r="B11" s="2" t="s">
        <v>16</v>
      </c>
      <c r="C11" s="1">
        <v>15</v>
      </c>
      <c r="D11" s="1">
        <v>300000</v>
      </c>
      <c r="E11" s="1">
        <v>0</v>
      </c>
      <c r="F11" s="1">
        <v>0</v>
      </c>
      <c r="G11" s="12"/>
    </row>
    <row r="12" spans="1:7">
      <c r="A12" s="1">
        <v>6</v>
      </c>
      <c r="B12" s="2" t="s">
        <v>17</v>
      </c>
      <c r="C12" s="1">
        <v>36</v>
      </c>
      <c r="D12" s="1">
        <v>164000</v>
      </c>
      <c r="E12" s="1">
        <v>69</v>
      </c>
      <c r="F12" s="1">
        <v>307570</v>
      </c>
      <c r="G12" s="12"/>
    </row>
    <row r="13" spans="1:7">
      <c r="A13" s="1"/>
      <c r="B13" s="2" t="s">
        <v>18</v>
      </c>
      <c r="C13" s="1">
        <v>0</v>
      </c>
      <c r="D13" s="1">
        <v>0</v>
      </c>
      <c r="E13" s="1">
        <v>0</v>
      </c>
      <c r="F13" s="1">
        <v>0</v>
      </c>
      <c r="G13" s="12"/>
    </row>
    <row r="14" spans="1:7">
      <c r="A14" s="1">
        <v>7</v>
      </c>
      <c r="B14" s="2" t="s">
        <v>19</v>
      </c>
      <c r="C14" s="1">
        <v>23</v>
      </c>
      <c r="D14" s="1">
        <v>857864</v>
      </c>
      <c r="E14" s="1">
        <v>11</v>
      </c>
      <c r="F14" s="1">
        <f>203643+35158+35381+38151+38151+36610</f>
        <v>387094</v>
      </c>
      <c r="G14" s="12"/>
    </row>
    <row r="15" spans="1:7">
      <c r="A15" s="1">
        <v>8</v>
      </c>
      <c r="B15" s="2" t="s">
        <v>20</v>
      </c>
      <c r="C15" s="1">
        <v>3</v>
      </c>
      <c r="D15" s="1">
        <v>153950</v>
      </c>
      <c r="E15" s="1">
        <v>0</v>
      </c>
      <c r="F15" s="1">
        <v>0</v>
      </c>
      <c r="G15" s="12"/>
    </row>
    <row r="16" spans="1:7">
      <c r="A16" s="1">
        <v>9</v>
      </c>
      <c r="B16" s="2" t="s">
        <v>21</v>
      </c>
      <c r="C16" s="1">
        <v>1</v>
      </c>
      <c r="D16" s="1">
        <v>8224</v>
      </c>
      <c r="E16" s="1">
        <v>0</v>
      </c>
      <c r="F16" s="1">
        <v>0</v>
      </c>
      <c r="G16" s="12"/>
    </row>
    <row r="17" spans="1:7">
      <c r="A17" s="1">
        <v>10</v>
      </c>
      <c r="B17" s="2" t="s">
        <v>22</v>
      </c>
      <c r="C17" s="1">
        <v>0</v>
      </c>
      <c r="D17" s="1">
        <v>0</v>
      </c>
      <c r="E17" s="1">
        <v>0</v>
      </c>
      <c r="F17" s="1">
        <v>0</v>
      </c>
      <c r="G17" s="12"/>
    </row>
    <row r="18" spans="1:7">
      <c r="A18" s="1">
        <v>11</v>
      </c>
      <c r="B18" s="2" t="s">
        <v>23</v>
      </c>
      <c r="C18" s="1">
        <v>0</v>
      </c>
      <c r="D18" s="1">
        <v>0</v>
      </c>
      <c r="E18" s="1">
        <v>0</v>
      </c>
      <c r="F18" s="1">
        <v>0</v>
      </c>
      <c r="G18" s="12"/>
    </row>
    <row r="19" spans="1:7">
      <c r="A19" s="3"/>
      <c r="B19" s="2" t="s">
        <v>24</v>
      </c>
      <c r="C19" s="1">
        <v>0</v>
      </c>
      <c r="D19" s="1">
        <v>0</v>
      </c>
      <c r="E19" s="1"/>
      <c r="F19" s="1">
        <v>326385</v>
      </c>
      <c r="G19" s="12"/>
    </row>
    <row r="20" spans="1:7">
      <c r="A20" s="3"/>
      <c r="B20" s="2" t="s">
        <v>25</v>
      </c>
      <c r="C20" s="1">
        <v>0</v>
      </c>
      <c r="D20" s="1">
        <v>0</v>
      </c>
      <c r="E20" s="1">
        <v>0</v>
      </c>
      <c r="F20" s="1">
        <v>0</v>
      </c>
      <c r="G20" s="12"/>
    </row>
    <row r="21" spans="1:7">
      <c r="A21" s="3"/>
      <c r="B21" s="4" t="s">
        <v>4</v>
      </c>
      <c r="C21" s="5">
        <f>SUM(C7:C20)</f>
        <v>111</v>
      </c>
      <c r="D21" s="5">
        <f>SUM(D7:D20)</f>
        <v>12229670</v>
      </c>
      <c r="E21" s="5">
        <f>SUM(E7:E20)</f>
        <v>105</v>
      </c>
      <c r="F21" s="5">
        <f>SUM(F7:F20)</f>
        <v>8485996</v>
      </c>
      <c r="G21" s="12"/>
    </row>
    <row r="22" spans="1:7" ht="15.5" hidden="1">
      <c r="A22" t="s">
        <v>29</v>
      </c>
      <c r="F22" s="7" t="s">
        <v>32</v>
      </c>
    </row>
    <row r="23" spans="1:7" hidden="1">
      <c r="A23" t="s">
        <v>30</v>
      </c>
      <c r="F23" t="s">
        <v>33</v>
      </c>
    </row>
    <row r="24" spans="1:7" hidden="1">
      <c r="A24" t="s">
        <v>31</v>
      </c>
    </row>
    <row r="25" spans="1:7" hidden="1"/>
    <row r="26" spans="1:7" hidden="1"/>
    <row r="27" spans="1:7" hidden="1">
      <c r="F27" t="s">
        <v>26</v>
      </c>
    </row>
    <row r="28" spans="1:7" hidden="1">
      <c r="F28" s="6" t="s">
        <v>27</v>
      </c>
      <c r="G28" s="6"/>
    </row>
    <row r="29" spans="1:7" hidden="1">
      <c r="F29" s="6" t="s">
        <v>28</v>
      </c>
      <c r="G29" s="6"/>
    </row>
    <row r="30" spans="1:7" hidden="1"/>
  </sheetData>
  <mergeCells count="9">
    <mergeCell ref="A5:A6"/>
    <mergeCell ref="B5:B6"/>
    <mergeCell ref="C5:D5"/>
    <mergeCell ref="E5:F5"/>
    <mergeCell ref="A1:G1"/>
    <mergeCell ref="A2:G2"/>
    <mergeCell ref="A3:G3"/>
    <mergeCell ref="B4:C4"/>
    <mergeCell ref="D4:G4"/>
  </mergeCells>
  <pageMargins left="0.7" right="0.7" top="0.75" bottom="0.75" header="0.3" footer="0.3"/>
  <pageSetup scale="7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0"/>
  <sheetViews>
    <sheetView workbookViewId="0">
      <selection activeCell="F32" sqref="F32"/>
    </sheetView>
  </sheetViews>
  <sheetFormatPr defaultRowHeight="14.5"/>
  <cols>
    <col min="2" max="2" width="29.81640625" bestFit="1" customWidth="1"/>
    <col min="3" max="6" width="16" customWidth="1"/>
    <col min="7" max="7" width="26.7265625" customWidth="1"/>
  </cols>
  <sheetData>
    <row r="1" spans="1:7">
      <c r="A1" s="15" t="s">
        <v>0</v>
      </c>
      <c r="B1" s="15"/>
      <c r="C1" s="15"/>
      <c r="D1" s="15"/>
      <c r="E1" s="15"/>
      <c r="F1" s="15"/>
      <c r="G1" s="15"/>
    </row>
    <row r="2" spans="1:7">
      <c r="A2" s="21" t="s">
        <v>41</v>
      </c>
      <c r="B2" s="21"/>
      <c r="C2" s="21"/>
      <c r="D2" s="21"/>
      <c r="E2" s="21"/>
      <c r="F2" s="21"/>
      <c r="G2" s="21"/>
    </row>
    <row r="3" spans="1:7">
      <c r="A3" s="24"/>
      <c r="B3" s="25"/>
      <c r="C3" s="25"/>
      <c r="D3" s="25"/>
      <c r="E3" s="25"/>
      <c r="F3" s="25"/>
      <c r="G3" s="26"/>
    </row>
    <row r="4" spans="1:7">
      <c r="A4" s="14" t="s">
        <v>2</v>
      </c>
      <c r="B4" s="22" t="s">
        <v>3</v>
      </c>
      <c r="C4" s="23"/>
      <c r="D4" s="21" t="s">
        <v>46</v>
      </c>
      <c r="E4" s="21"/>
      <c r="F4" s="21"/>
      <c r="G4" s="21"/>
    </row>
    <row r="5" spans="1:7">
      <c r="A5" s="27" t="s">
        <v>5</v>
      </c>
      <c r="B5" s="27" t="s">
        <v>6</v>
      </c>
      <c r="C5" s="21" t="s">
        <v>7</v>
      </c>
      <c r="D5" s="21"/>
      <c r="E5" s="22" t="s">
        <v>8</v>
      </c>
      <c r="F5" s="23"/>
      <c r="G5" s="14" t="s">
        <v>9</v>
      </c>
    </row>
    <row r="6" spans="1:7">
      <c r="A6" s="28"/>
      <c r="B6" s="28"/>
      <c r="C6" s="14" t="s">
        <v>10</v>
      </c>
      <c r="D6" s="14" t="s">
        <v>11</v>
      </c>
      <c r="E6" s="14" t="s">
        <v>10</v>
      </c>
      <c r="F6" s="14" t="s">
        <v>11</v>
      </c>
      <c r="G6" s="14"/>
    </row>
    <row r="7" spans="1:7">
      <c r="A7" s="1">
        <v>1</v>
      </c>
      <c r="B7" s="8" t="s">
        <v>12</v>
      </c>
      <c r="C7" s="11">
        <v>25</v>
      </c>
      <c r="D7" s="11">
        <f>C7*400000</f>
        <v>10000000</v>
      </c>
      <c r="E7" s="1">
        <v>21</v>
      </c>
      <c r="F7" s="1">
        <v>7647825</v>
      </c>
      <c r="G7" s="13"/>
    </row>
    <row r="8" spans="1:7">
      <c r="A8" s="1">
        <v>2</v>
      </c>
      <c r="B8" s="2" t="s">
        <v>13</v>
      </c>
      <c r="C8" s="1">
        <v>6</v>
      </c>
      <c r="D8" s="1">
        <v>600000</v>
      </c>
      <c r="E8" s="1">
        <v>4</v>
      </c>
      <c r="F8" s="1">
        <v>400000</v>
      </c>
      <c r="G8" s="12"/>
    </row>
    <row r="9" spans="1:7">
      <c r="A9" s="1">
        <v>3</v>
      </c>
      <c r="B9" s="2" t="s">
        <v>14</v>
      </c>
      <c r="C9" s="1">
        <v>2</v>
      </c>
      <c r="D9" s="1">
        <v>145632</v>
      </c>
      <c r="E9" s="1">
        <v>2</v>
      </c>
      <c r="F9" s="1">
        <v>145630</v>
      </c>
      <c r="G9" s="12"/>
    </row>
    <row r="10" spans="1:7">
      <c r="A10" s="1">
        <v>4</v>
      </c>
      <c r="B10" s="2" t="s">
        <v>15</v>
      </c>
      <c r="C10" s="1">
        <v>0</v>
      </c>
      <c r="D10" s="1">
        <v>0</v>
      </c>
      <c r="E10" s="1">
        <v>0</v>
      </c>
      <c r="F10" s="1">
        <v>0</v>
      </c>
      <c r="G10" s="12"/>
    </row>
    <row r="11" spans="1:7">
      <c r="A11" s="1">
        <v>5</v>
      </c>
      <c r="B11" s="2" t="s">
        <v>16</v>
      </c>
      <c r="C11" s="1">
        <v>15</v>
      </c>
      <c r="D11" s="1">
        <v>300000</v>
      </c>
      <c r="E11" s="1">
        <v>0</v>
      </c>
      <c r="F11" s="1">
        <v>0</v>
      </c>
      <c r="G11" s="12"/>
    </row>
    <row r="12" spans="1:7">
      <c r="A12" s="1">
        <v>6</v>
      </c>
      <c r="B12" s="2" t="s">
        <v>17</v>
      </c>
      <c r="C12" s="1">
        <v>36</v>
      </c>
      <c r="D12" s="1">
        <v>164000</v>
      </c>
      <c r="E12" s="1">
        <v>69</v>
      </c>
      <c r="F12" s="1">
        <v>307570</v>
      </c>
      <c r="G12" s="12"/>
    </row>
    <row r="13" spans="1:7">
      <c r="A13" s="1"/>
      <c r="B13" s="2" t="s">
        <v>18</v>
      </c>
      <c r="C13" s="1">
        <v>0</v>
      </c>
      <c r="D13" s="1">
        <v>0</v>
      </c>
      <c r="E13" s="1">
        <v>0</v>
      </c>
      <c r="F13" s="1">
        <v>0</v>
      </c>
      <c r="G13" s="12"/>
    </row>
    <row r="14" spans="1:7">
      <c r="A14" s="1">
        <v>7</v>
      </c>
      <c r="B14" s="2" t="s">
        <v>19</v>
      </c>
      <c r="C14" s="1">
        <v>23</v>
      </c>
      <c r="D14" s="1">
        <v>857864</v>
      </c>
      <c r="E14" s="1">
        <v>11</v>
      </c>
      <c r="F14" s="1">
        <f>203643+35158+35381+38151+38151+36610</f>
        <v>387094</v>
      </c>
      <c r="G14" s="12"/>
    </row>
    <row r="15" spans="1:7">
      <c r="A15" s="1">
        <v>8</v>
      </c>
      <c r="B15" s="2" t="s">
        <v>20</v>
      </c>
      <c r="C15" s="1">
        <v>3</v>
      </c>
      <c r="D15" s="1">
        <v>153950</v>
      </c>
      <c r="E15" s="1">
        <v>0</v>
      </c>
      <c r="F15" s="1">
        <v>0</v>
      </c>
      <c r="G15" s="12"/>
    </row>
    <row r="16" spans="1:7">
      <c r="A16" s="1">
        <v>9</v>
      </c>
      <c r="B16" s="2" t="s">
        <v>21</v>
      </c>
      <c r="C16" s="1">
        <v>1</v>
      </c>
      <c r="D16" s="1">
        <v>8224</v>
      </c>
      <c r="E16" s="1">
        <v>0</v>
      </c>
      <c r="F16" s="1">
        <v>0</v>
      </c>
      <c r="G16" s="12"/>
    </row>
    <row r="17" spans="1:7">
      <c r="A17" s="1">
        <v>10</v>
      </c>
      <c r="B17" s="2" t="s">
        <v>22</v>
      </c>
      <c r="C17" s="1">
        <v>0</v>
      </c>
      <c r="D17" s="1">
        <v>0</v>
      </c>
      <c r="E17" s="1">
        <v>0</v>
      </c>
      <c r="F17" s="1">
        <v>0</v>
      </c>
      <c r="G17" s="12"/>
    </row>
    <row r="18" spans="1:7">
      <c r="A18" s="1">
        <v>11</v>
      </c>
      <c r="B18" s="2" t="s">
        <v>23</v>
      </c>
      <c r="C18" s="1">
        <v>0</v>
      </c>
      <c r="D18" s="1">
        <v>0</v>
      </c>
      <c r="E18" s="1">
        <v>0</v>
      </c>
      <c r="F18" s="1">
        <v>0</v>
      </c>
      <c r="G18" s="12"/>
    </row>
    <row r="19" spans="1:7">
      <c r="A19" s="3"/>
      <c r="B19" s="2" t="s">
        <v>24</v>
      </c>
      <c r="C19" s="1">
        <v>0</v>
      </c>
      <c r="D19" s="1">
        <v>0</v>
      </c>
      <c r="E19" s="1"/>
      <c r="F19" s="1">
        <v>355525</v>
      </c>
      <c r="G19" s="12"/>
    </row>
    <row r="20" spans="1:7">
      <c r="A20" s="3"/>
      <c r="B20" s="2" t="s">
        <v>25</v>
      </c>
      <c r="C20" s="1">
        <v>0</v>
      </c>
      <c r="D20" s="1">
        <v>0</v>
      </c>
      <c r="E20" s="1">
        <v>0</v>
      </c>
      <c r="F20" s="1">
        <v>0</v>
      </c>
      <c r="G20" s="12"/>
    </row>
    <row r="21" spans="1:7">
      <c r="A21" s="3"/>
      <c r="B21" s="4" t="s">
        <v>4</v>
      </c>
      <c r="C21" s="5">
        <f>SUM(C7:C20)</f>
        <v>111</v>
      </c>
      <c r="D21" s="5">
        <f>SUM(D7:D20)</f>
        <v>12229670</v>
      </c>
      <c r="E21" s="5">
        <f>SUM(E7:E20)</f>
        <v>107</v>
      </c>
      <c r="F21" s="5">
        <f>SUM(F7:F20)</f>
        <v>9243644</v>
      </c>
      <c r="G21" s="12"/>
    </row>
    <row r="22" spans="1:7" ht="15.5" hidden="1">
      <c r="A22" t="s">
        <v>29</v>
      </c>
      <c r="F22" s="7" t="s">
        <v>32</v>
      </c>
    </row>
    <row r="23" spans="1:7" hidden="1">
      <c r="A23" t="s">
        <v>30</v>
      </c>
      <c r="F23" t="s">
        <v>33</v>
      </c>
    </row>
    <row r="24" spans="1:7" hidden="1">
      <c r="A24" t="s">
        <v>31</v>
      </c>
    </row>
    <row r="25" spans="1:7" hidden="1"/>
    <row r="26" spans="1:7" hidden="1"/>
    <row r="27" spans="1:7" hidden="1">
      <c r="F27" t="s">
        <v>26</v>
      </c>
    </row>
    <row r="28" spans="1:7" hidden="1">
      <c r="F28" s="6" t="s">
        <v>27</v>
      </c>
      <c r="G28" s="6"/>
    </row>
    <row r="29" spans="1:7" hidden="1">
      <c r="F29" s="6" t="s">
        <v>28</v>
      </c>
      <c r="G29" s="6"/>
    </row>
    <row r="30" spans="1:7" hidden="1"/>
  </sheetData>
  <mergeCells count="9">
    <mergeCell ref="A5:A6"/>
    <mergeCell ref="B5:B6"/>
    <mergeCell ref="C5:D5"/>
    <mergeCell ref="E5:F5"/>
    <mergeCell ref="A1:G1"/>
    <mergeCell ref="A2:G2"/>
    <mergeCell ref="A3:G3"/>
    <mergeCell ref="B4:C4"/>
    <mergeCell ref="D4:G4"/>
  </mergeCells>
  <pageMargins left="0.7" right="0.7" top="0.75" bottom="0.75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Oct-24</vt:lpstr>
      <vt:lpstr>Nov-24</vt:lpstr>
      <vt:lpstr>Dec-24</vt:lpstr>
      <vt:lpstr>Jan-25</vt:lpstr>
      <vt:lpstr>feb-25</vt:lpstr>
      <vt:lpstr>Mar-25</vt:lpstr>
      <vt:lpstr>Apr-25</vt:lpstr>
      <vt:lpstr>May-25 </vt:lpstr>
      <vt:lpstr>Jun-25</vt:lpstr>
      <vt:lpstr>Jul-25</vt:lpstr>
      <vt:lpstr>August-25</vt:lpstr>
      <vt:lpstr>Sep-25</vt:lpstr>
      <vt:lpstr>'Apr-25'!Print_Area</vt:lpstr>
      <vt:lpstr>'August-25'!Print_Area</vt:lpstr>
      <vt:lpstr>'Dec-24'!Print_Area</vt:lpstr>
      <vt:lpstr>'feb-25'!Print_Area</vt:lpstr>
      <vt:lpstr>'Jan-25'!Print_Area</vt:lpstr>
      <vt:lpstr>'Jul-25'!Print_Area</vt:lpstr>
      <vt:lpstr>'Jun-25'!Print_Area</vt:lpstr>
      <vt:lpstr>'Mar-25'!Print_Area</vt:lpstr>
      <vt:lpstr>'May-25 '!Print_Area</vt:lpstr>
      <vt:lpstr>'Nov-24'!Print_Area</vt:lpstr>
      <vt:lpstr>'Oct-24'!Print_Area</vt:lpstr>
      <vt:lpstr>'Sep-25'!Print_Area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2025-09-26T11:19:32Z</dcterms:modified>
</cp:coreProperties>
</file>